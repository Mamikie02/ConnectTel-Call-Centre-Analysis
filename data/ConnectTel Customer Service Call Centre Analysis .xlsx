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4b5586f94b8e8a/Desktop/ConnectTel_Project/data/"/>
    </mc:Choice>
  </mc:AlternateContent>
  <xr:revisionPtr revIDLastSave="1" documentId="11_BEF7E1D4EF0784A514AD232683B92A30FC6EFB47" xr6:coauthVersionLast="47" xr6:coauthVersionMax="47" xr10:uidLastSave="{89D4EBF8-75BE-411B-B180-4744508CD08F}"/>
  <bookViews>
    <workbookView minimized="1" xWindow="2652" yWindow="2652" windowWidth="17280" windowHeight="8880" xr2:uid="{00000000-000D-0000-FFFF-FFFF00000000}"/>
  </bookViews>
  <sheets>
    <sheet name="Sheet1" sheetId="1" r:id="rId1"/>
    <sheet name="Pivot Table 1" sheetId="2" r:id="rId2"/>
    <sheet name="DashBoard" sheetId="3" r:id="rId3"/>
  </sheets>
  <calcPr calcId="191029"/>
  <pivotCaches>
    <pivotCache cacheId="8" r:id="rId4"/>
    <pivotCache cacheId="12" r:id="rId5"/>
    <pivotCache cacheId="17" r:id="rId6"/>
    <pivotCache cacheId="21" r:id="rId7"/>
    <pivotCache cacheId="2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K8" i="2"/>
  <c r="K7" i="2"/>
  <c r="M446" i="1"/>
  <c r="M433" i="1"/>
  <c r="M421" i="1"/>
  <c r="M409" i="1"/>
  <c r="M397" i="1"/>
  <c r="M386" i="1"/>
  <c r="M385" i="1"/>
  <c r="M374" i="1"/>
  <c r="M373" i="1"/>
  <c r="M362" i="1"/>
  <c r="M361" i="1"/>
  <c r="M350" i="1"/>
  <c r="M349" i="1"/>
  <c r="M338" i="1"/>
  <c r="M337" i="1"/>
  <c r="M326" i="1"/>
  <c r="M325" i="1"/>
  <c r="M314" i="1"/>
  <c r="M313" i="1"/>
  <c r="M302" i="1"/>
  <c r="M301" i="1"/>
  <c r="M290" i="1"/>
  <c r="M289" i="1"/>
  <c r="M278" i="1"/>
  <c r="M277" i="1"/>
  <c r="M266" i="1"/>
  <c r="M265" i="1"/>
  <c r="M254" i="1"/>
  <c r="M253" i="1"/>
  <c r="M242" i="1"/>
  <c r="M241" i="1"/>
  <c r="M230" i="1"/>
  <c r="M229" i="1"/>
  <c r="M218" i="1"/>
  <c r="M217" i="1"/>
  <c r="M206" i="1"/>
  <c r="M205" i="1"/>
  <c r="M194" i="1"/>
  <c r="M193" i="1"/>
  <c r="M182" i="1"/>
  <c r="M181" i="1"/>
  <c r="M170" i="1"/>
  <c r="M169" i="1"/>
  <c r="M158" i="1"/>
  <c r="M157" i="1"/>
  <c r="M146" i="1"/>
  <c r="M145" i="1"/>
  <c r="M134" i="1"/>
  <c r="M133" i="1"/>
  <c r="M122" i="1"/>
  <c r="M121" i="1"/>
  <c r="M110" i="1"/>
  <c r="M109" i="1"/>
  <c r="M98" i="1"/>
  <c r="M97" i="1"/>
  <c r="M86" i="1"/>
  <c r="M85" i="1"/>
  <c r="M74" i="1"/>
  <c r="M73" i="1"/>
  <c r="M62" i="1"/>
  <c r="M61" i="1"/>
  <c r="M50" i="1"/>
  <c r="M49" i="1"/>
  <c r="M38" i="1"/>
  <c r="M37" i="1"/>
  <c r="M26" i="1"/>
  <c r="M25" i="1"/>
  <c r="M17" i="1"/>
  <c r="M9" i="1"/>
  <c r="P5" i="1"/>
  <c r="M442" i="1" s="1"/>
  <c r="P4" i="1"/>
  <c r="P3" i="1"/>
  <c r="M2" i="1"/>
  <c r="M23" i="1" l="1"/>
  <c r="M35" i="1"/>
  <c r="M47" i="1"/>
  <c r="M59" i="1"/>
  <c r="M71" i="1"/>
  <c r="M83" i="1"/>
  <c r="M95" i="1"/>
  <c r="M107" i="1"/>
  <c r="M119" i="1"/>
  <c r="M131" i="1"/>
  <c r="M143" i="1"/>
  <c r="M155" i="1"/>
  <c r="M167" i="1"/>
  <c r="M179" i="1"/>
  <c r="M191" i="1"/>
  <c r="M203" i="1"/>
  <c r="M215" i="1"/>
  <c r="M227" i="1"/>
  <c r="M239" i="1"/>
  <c r="M251" i="1"/>
  <c r="M263" i="1"/>
  <c r="M275" i="1"/>
  <c r="M287" i="1"/>
  <c r="M299" i="1"/>
  <c r="M311" i="1"/>
  <c r="M323" i="1"/>
  <c r="M335" i="1"/>
  <c r="M347" i="1"/>
  <c r="M359" i="1"/>
  <c r="M371" i="1"/>
  <c r="M383" i="1"/>
  <c r="M395" i="1"/>
  <c r="M407" i="1"/>
  <c r="M419" i="1"/>
  <c r="M431" i="1"/>
  <c r="M443" i="1"/>
  <c r="M8" i="1"/>
  <c r="M16" i="1"/>
  <c r="M24" i="1"/>
  <c r="M36" i="1"/>
  <c r="M48" i="1"/>
  <c r="M60" i="1"/>
  <c r="M72" i="1"/>
  <c r="M84" i="1"/>
  <c r="M96" i="1"/>
  <c r="M108" i="1"/>
  <c r="M120" i="1"/>
  <c r="M132" i="1"/>
  <c r="M144" i="1"/>
  <c r="M156" i="1"/>
  <c r="M168" i="1"/>
  <c r="M180" i="1"/>
  <c r="M192" i="1"/>
  <c r="M204" i="1"/>
  <c r="M216" i="1"/>
  <c r="M228" i="1"/>
  <c r="M240" i="1"/>
  <c r="M252" i="1"/>
  <c r="M264" i="1"/>
  <c r="M276" i="1"/>
  <c r="M288" i="1"/>
  <c r="M300" i="1"/>
  <c r="M312" i="1"/>
  <c r="M324" i="1"/>
  <c r="M336" i="1"/>
  <c r="M348" i="1"/>
  <c r="M360" i="1"/>
  <c r="M372" i="1"/>
  <c r="M384" i="1"/>
  <c r="M396" i="1"/>
  <c r="M408" i="1"/>
  <c r="M420" i="1"/>
  <c r="M432" i="1"/>
  <c r="M444" i="1"/>
  <c r="M445" i="1"/>
  <c r="M10" i="1"/>
  <c r="M28" i="1"/>
  <c r="M112" i="1"/>
  <c r="M184" i="1"/>
  <c r="M244" i="1"/>
  <c r="M292" i="1"/>
  <c r="M352" i="1"/>
  <c r="M436" i="1"/>
  <c r="M4" i="1"/>
  <c r="M41" i="1"/>
  <c r="M89" i="1"/>
  <c r="M137" i="1"/>
  <c r="M161" i="1"/>
  <c r="M173" i="1"/>
  <c r="M197" i="1"/>
  <c r="M209" i="1"/>
  <c r="M221" i="1"/>
  <c r="M233" i="1"/>
  <c r="M245" i="1"/>
  <c r="M257" i="1"/>
  <c r="M269" i="1"/>
  <c r="M293" i="1"/>
  <c r="M305" i="1"/>
  <c r="M317" i="1"/>
  <c r="M329" i="1"/>
  <c r="M341" i="1"/>
  <c r="M353" i="1"/>
  <c r="M365" i="1"/>
  <c r="M377" i="1"/>
  <c r="M389" i="1"/>
  <c r="M401" i="1"/>
  <c r="M413" i="1"/>
  <c r="M425" i="1"/>
  <c r="M437" i="1"/>
  <c r="M449" i="1"/>
  <c r="M398" i="1"/>
  <c r="M410" i="1"/>
  <c r="M422" i="1"/>
  <c r="M434" i="1"/>
  <c r="M3" i="1"/>
  <c r="M18" i="1"/>
  <c r="M27" i="1"/>
  <c r="M39" i="1"/>
  <c r="M51" i="1"/>
  <c r="M63" i="1"/>
  <c r="M75" i="1"/>
  <c r="M87" i="1"/>
  <c r="M99" i="1"/>
  <c r="M111" i="1"/>
  <c r="M123" i="1"/>
  <c r="M135" i="1"/>
  <c r="M147" i="1"/>
  <c r="M159" i="1"/>
  <c r="M171" i="1"/>
  <c r="M183" i="1"/>
  <c r="M195" i="1"/>
  <c r="M207" i="1"/>
  <c r="M219" i="1"/>
  <c r="M231" i="1"/>
  <c r="M243" i="1"/>
  <c r="M255" i="1"/>
  <c r="M267" i="1"/>
  <c r="M279" i="1"/>
  <c r="M291" i="1"/>
  <c r="M303" i="1"/>
  <c r="P20" i="1" s="1"/>
  <c r="M315" i="1"/>
  <c r="M327" i="1"/>
  <c r="M339" i="1"/>
  <c r="M351" i="1"/>
  <c r="M363" i="1"/>
  <c r="M375" i="1"/>
  <c r="M387" i="1"/>
  <c r="M399" i="1"/>
  <c r="M411" i="1"/>
  <c r="M423" i="1"/>
  <c r="M435" i="1"/>
  <c r="M447" i="1"/>
  <c r="M40" i="1"/>
  <c r="M52" i="1"/>
  <c r="M64" i="1"/>
  <c r="M76" i="1"/>
  <c r="M88" i="1"/>
  <c r="M100" i="1"/>
  <c r="M124" i="1"/>
  <c r="M136" i="1"/>
  <c r="M148" i="1"/>
  <c r="M160" i="1"/>
  <c r="M172" i="1"/>
  <c r="M196" i="1"/>
  <c r="M208" i="1"/>
  <c r="M220" i="1"/>
  <c r="M232" i="1"/>
  <c r="M256" i="1"/>
  <c r="M268" i="1"/>
  <c r="M280" i="1"/>
  <c r="M304" i="1"/>
  <c r="M316" i="1"/>
  <c r="M328" i="1"/>
  <c r="M340" i="1"/>
  <c r="M364" i="1"/>
  <c r="M376" i="1"/>
  <c r="M388" i="1"/>
  <c r="M400" i="1"/>
  <c r="M412" i="1"/>
  <c r="M424" i="1"/>
  <c r="M448" i="1"/>
  <c r="M11" i="1"/>
  <c r="M19" i="1"/>
  <c r="M29" i="1"/>
  <c r="M53" i="1"/>
  <c r="M65" i="1"/>
  <c r="M77" i="1"/>
  <c r="M101" i="1"/>
  <c r="M113" i="1"/>
  <c r="M125" i="1"/>
  <c r="M149" i="1"/>
  <c r="M185" i="1"/>
  <c r="M281" i="1"/>
  <c r="M12" i="1"/>
  <c r="M30" i="1"/>
  <c r="M42" i="1"/>
  <c r="M54" i="1"/>
  <c r="M66" i="1"/>
  <c r="M78" i="1"/>
  <c r="M90" i="1"/>
  <c r="M102" i="1"/>
  <c r="M114" i="1"/>
  <c r="M126" i="1"/>
  <c r="M138" i="1"/>
  <c r="M150" i="1"/>
  <c r="M162" i="1"/>
  <c r="M174" i="1"/>
  <c r="M186" i="1"/>
  <c r="M198" i="1"/>
  <c r="M210" i="1"/>
  <c r="M222" i="1"/>
  <c r="M234" i="1"/>
  <c r="M246" i="1"/>
  <c r="M258" i="1"/>
  <c r="M270" i="1"/>
  <c r="M282" i="1"/>
  <c r="M294" i="1"/>
  <c r="M306" i="1"/>
  <c r="M318" i="1"/>
  <c r="M330" i="1"/>
  <c r="M342" i="1"/>
  <c r="M354" i="1"/>
  <c r="M366" i="1"/>
  <c r="M378" i="1"/>
  <c r="M390" i="1"/>
  <c r="M402" i="1"/>
  <c r="M414" i="1"/>
  <c r="M426" i="1"/>
  <c r="M438" i="1"/>
  <c r="M450" i="1"/>
  <c r="M5" i="1"/>
  <c r="M13" i="1"/>
  <c r="M20" i="1"/>
  <c r="M31" i="1"/>
  <c r="M43" i="1"/>
  <c r="M55" i="1"/>
  <c r="M67" i="1"/>
  <c r="M79" i="1"/>
  <c r="M91" i="1"/>
  <c r="M103" i="1"/>
  <c r="M115" i="1"/>
  <c r="M127" i="1"/>
  <c r="M139" i="1"/>
  <c r="M151" i="1"/>
  <c r="M163" i="1"/>
  <c r="M175" i="1"/>
  <c r="M187" i="1"/>
  <c r="M199" i="1"/>
  <c r="M211" i="1"/>
  <c r="M223" i="1"/>
  <c r="M235" i="1"/>
  <c r="M247" i="1"/>
  <c r="M259" i="1"/>
  <c r="M271" i="1"/>
  <c r="M283" i="1"/>
  <c r="M295" i="1"/>
  <c r="M307" i="1"/>
  <c r="M319" i="1"/>
  <c r="M331" i="1"/>
  <c r="M343" i="1"/>
  <c r="M355" i="1"/>
  <c r="M367" i="1"/>
  <c r="M379" i="1"/>
  <c r="M391" i="1"/>
  <c r="M403" i="1"/>
  <c r="M415" i="1"/>
  <c r="M427" i="1"/>
  <c r="M439" i="1"/>
  <c r="M451" i="1"/>
  <c r="M32" i="1"/>
  <c r="M44" i="1"/>
  <c r="M56" i="1"/>
  <c r="M68" i="1"/>
  <c r="M80" i="1"/>
  <c r="M92" i="1"/>
  <c r="M104" i="1"/>
  <c r="M116" i="1"/>
  <c r="M128" i="1"/>
  <c r="M140" i="1"/>
  <c r="M152" i="1"/>
  <c r="M164" i="1"/>
  <c r="M176" i="1"/>
  <c r="M188" i="1"/>
  <c r="M200" i="1"/>
  <c r="M212" i="1"/>
  <c r="M224" i="1"/>
  <c r="M236" i="1"/>
  <c r="M248" i="1"/>
  <c r="M260" i="1"/>
  <c r="M272" i="1"/>
  <c r="M284" i="1"/>
  <c r="M296" i="1"/>
  <c r="M308" i="1"/>
  <c r="M320" i="1"/>
  <c r="M332" i="1"/>
  <c r="M344" i="1"/>
  <c r="M356" i="1"/>
  <c r="M368" i="1"/>
  <c r="M380" i="1"/>
  <c r="M392" i="1"/>
  <c r="M404" i="1"/>
  <c r="M416" i="1"/>
  <c r="M428" i="1"/>
  <c r="M440" i="1"/>
  <c r="M21" i="1"/>
  <c r="M33" i="1"/>
  <c r="M45" i="1"/>
  <c r="M57" i="1"/>
  <c r="M69" i="1"/>
  <c r="M81" i="1"/>
  <c r="M93" i="1"/>
  <c r="M105" i="1"/>
  <c r="M117" i="1"/>
  <c r="M129" i="1"/>
  <c r="M141" i="1"/>
  <c r="M153" i="1"/>
  <c r="M165" i="1"/>
  <c r="M177" i="1"/>
  <c r="M189" i="1"/>
  <c r="M201" i="1"/>
  <c r="M213" i="1"/>
  <c r="M225" i="1"/>
  <c r="M237" i="1"/>
  <c r="M249" i="1"/>
  <c r="M261" i="1"/>
  <c r="M273" i="1"/>
  <c r="M285" i="1"/>
  <c r="M297" i="1"/>
  <c r="M309" i="1"/>
  <c r="M321" i="1"/>
  <c r="M333" i="1"/>
  <c r="M345" i="1"/>
  <c r="M357" i="1"/>
  <c r="M369" i="1"/>
  <c r="M381" i="1"/>
  <c r="M393" i="1"/>
  <c r="M405" i="1"/>
  <c r="M417" i="1"/>
  <c r="M429" i="1"/>
  <c r="M441" i="1"/>
  <c r="M14" i="1"/>
  <c r="M6" i="1"/>
  <c r="M7" i="1"/>
  <c r="M15" i="1"/>
  <c r="M22" i="1"/>
  <c r="M34" i="1"/>
  <c r="M46" i="1"/>
  <c r="M58" i="1"/>
  <c r="M70" i="1"/>
  <c r="M82" i="1"/>
  <c r="M94" i="1"/>
  <c r="M106" i="1"/>
  <c r="M118" i="1"/>
  <c r="M130" i="1"/>
  <c r="M142" i="1"/>
  <c r="M154" i="1"/>
  <c r="M166" i="1"/>
  <c r="M178" i="1"/>
  <c r="M190" i="1"/>
  <c r="M202" i="1"/>
  <c r="M214" i="1"/>
  <c r="M226" i="1"/>
  <c r="M238" i="1"/>
  <c r="M250" i="1"/>
  <c r="M262" i="1"/>
  <c r="M274" i="1"/>
  <c r="M286" i="1"/>
  <c r="M298" i="1"/>
  <c r="M310" i="1"/>
  <c r="M322" i="1"/>
  <c r="M334" i="1"/>
  <c r="M346" i="1"/>
  <c r="M358" i="1"/>
  <c r="M370" i="1"/>
  <c r="M382" i="1"/>
  <c r="M394" i="1"/>
  <c r="M406" i="1"/>
  <c r="M418" i="1"/>
  <c r="M430" i="1"/>
  <c r="P19" i="1" l="1"/>
  <c r="P15" i="1"/>
  <c r="P8" i="1"/>
  <c r="P16" i="1"/>
  <c r="P9" i="1"/>
  <c r="P14" i="1"/>
  <c r="P7" i="1"/>
  <c r="P18" i="1"/>
</calcChain>
</file>

<file path=xl/sharedStrings.xml><?xml version="1.0" encoding="utf-8"?>
<sst xmlns="http://schemas.openxmlformats.org/spreadsheetml/2006/main" count="2380" uniqueCount="81">
  <si>
    <t>Team</t>
  </si>
  <si>
    <t>AgentID</t>
  </si>
  <si>
    <t>Day</t>
  </si>
  <si>
    <t>Shift</t>
  </si>
  <si>
    <t>Experience</t>
  </si>
  <si>
    <t>CallsHandled</t>
  </si>
  <si>
    <t>AvgCallDuration</t>
  </si>
  <si>
    <t>EscalationRate</t>
  </si>
  <si>
    <t>FCRRate</t>
  </si>
  <si>
    <t>CSATScore</t>
  </si>
  <si>
    <t>OvertimeHours</t>
  </si>
  <si>
    <t>CostPerCall</t>
  </si>
  <si>
    <t>CostPerCall(High/Low)</t>
  </si>
  <si>
    <t xml:space="preserve"> </t>
  </si>
  <si>
    <t>Team A</t>
  </si>
  <si>
    <t>Agent_1</t>
  </si>
  <si>
    <t>Monday</t>
  </si>
  <si>
    <t>Morning</t>
  </si>
  <si>
    <t>3-6 months</t>
  </si>
  <si>
    <t>Afternoon</t>
  </si>
  <si>
    <t>Q1</t>
  </si>
  <si>
    <t>Evening</t>
  </si>
  <si>
    <t>0-3 months</t>
  </si>
  <si>
    <t>Q2</t>
  </si>
  <si>
    <t>Tuesday</t>
  </si>
  <si>
    <t>Q3</t>
  </si>
  <si>
    <t>6+ months</t>
  </si>
  <si>
    <t>Count High For 0-3</t>
  </si>
  <si>
    <t xml:space="preserve"> Experience Does not affect the cost</t>
  </si>
  <si>
    <t>Wednesday</t>
  </si>
  <si>
    <t>Count High for 3-6</t>
  </si>
  <si>
    <t>Count High For 6+</t>
  </si>
  <si>
    <t>Thursday</t>
  </si>
  <si>
    <t>Friday</t>
  </si>
  <si>
    <t>Count High for Morning</t>
  </si>
  <si>
    <t>Count High for Afternoon</t>
  </si>
  <si>
    <t>Shift Does Not Affect the cost</t>
  </si>
  <si>
    <t>Count High for Evening</t>
  </si>
  <si>
    <t>Agent_2</t>
  </si>
  <si>
    <t>Count High for Team A</t>
  </si>
  <si>
    <t>Count High For Team B</t>
  </si>
  <si>
    <t xml:space="preserve"> Team B does affect the cost</t>
  </si>
  <si>
    <t>Count High For Team C</t>
  </si>
  <si>
    <t>Agent_3</t>
  </si>
  <si>
    <t>Agent_4</t>
  </si>
  <si>
    <t>Agent_5</t>
  </si>
  <si>
    <t>Agent_6</t>
  </si>
  <si>
    <t>Agent_7</t>
  </si>
  <si>
    <t>Agent_8</t>
  </si>
  <si>
    <t>Agent_9</t>
  </si>
  <si>
    <t>Agent_10</t>
  </si>
  <si>
    <t>Team B</t>
  </si>
  <si>
    <t>Team C</t>
  </si>
  <si>
    <t>AVERAGE of CostPerCall</t>
  </si>
  <si>
    <t>Average Cost Per Call</t>
  </si>
  <si>
    <t>Grand Total</t>
  </si>
  <si>
    <t>Team A Total</t>
  </si>
  <si>
    <t>Team B Total</t>
  </si>
  <si>
    <t>Team C Total</t>
  </si>
  <si>
    <t xml:space="preserve"> ConnectTel Customer Service Call Centre Dashboard</t>
  </si>
  <si>
    <t>3,5-3,7</t>
  </si>
  <si>
    <t>3,7-3,9</t>
  </si>
  <si>
    <t>3,9-4,1</t>
  </si>
  <si>
    <t>4,1-4,3</t>
  </si>
  <si>
    <t>4,3-4,5</t>
  </si>
  <si>
    <t>4,5-4,7</t>
  </si>
  <si>
    <t>4,7-4,9</t>
  </si>
  <si>
    <t>30-39</t>
  </si>
  <si>
    <t>40-49</t>
  </si>
  <si>
    <t>50-59</t>
  </si>
  <si>
    <t>60-69</t>
  </si>
  <si>
    <t>70-80</t>
  </si>
  <si>
    <t>(blank)</t>
  </si>
  <si>
    <t>&lt;30 or (blank)</t>
  </si>
  <si>
    <t>(blank) Total</t>
  </si>
  <si>
    <t>&gt;5</t>
  </si>
  <si>
    <t>2-2,5</t>
  </si>
  <si>
    <t>3,5-4</t>
  </si>
  <si>
    <t>3-3,5</t>
  </si>
  <si>
    <t>4,5-5</t>
  </si>
  <si>
    <t>4-4,5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</si>
</sst>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36"/>
      <color theme="1"/>
      <name val="Calibri"/>
    </font>
    <font>
      <sz val="36"/>
      <color rgb="FFB7B7B7"/>
      <name val="Calibri"/>
    </font>
    <font>
      <sz val="11"/>
      <color rgb="FFCCCCCC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124D"/>
        <bgColor rgb="FF20124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2" fontId="3" fillId="0" borderId="0" xfId="0" applyNumberFormat="1" applyFont="1"/>
    <xf numFmtId="0" fontId="4" fillId="0" borderId="0" xfId="0" applyFont="1"/>
    <xf numFmtId="2" fontId="5" fillId="0" borderId="0" xfId="0" applyNumberFormat="1" applyFont="1"/>
    <xf numFmtId="0" fontId="2" fillId="0" borderId="0" xfId="0" applyFont="1"/>
    <xf numFmtId="0" fontId="3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6" fillId="0" borderId="0" xfId="0" applyFont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AVERAGE of CostPerCall vs. OvertimeHours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AVERAGE of CostPerCall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1'!$A$2:$A$6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(blank)</c:v>
                </c:pt>
              </c:strCache>
            </c:strRef>
          </c:cat>
          <c:val>
            <c:numRef>
              <c:f>'Pivot Table 1'!$B$2:$B$6</c:f>
              <c:numCache>
                <c:formatCode>General</c:formatCode>
                <c:ptCount val="5"/>
                <c:pt idx="0">
                  <c:v>24.754944237918224</c:v>
                </c:pt>
                <c:pt idx="1">
                  <c:v>26.658681318681321</c:v>
                </c:pt>
                <c:pt idx="2">
                  <c:v>28.896197183098586</c:v>
                </c:pt>
                <c:pt idx="3">
                  <c:v>31.386842105263153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2F-43A0-A7EF-47FDB8B86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3587738"/>
        <c:axId val="71074627"/>
      </c:barChart>
      <c:catAx>
        <c:axId val="833587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OvertimeHours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074627"/>
        <c:crosses val="autoZero"/>
        <c:auto val="1"/>
        <c:lblAlgn val="ctr"/>
        <c:lblOffset val="100"/>
        <c:noMultiLvlLbl val="1"/>
      </c:catAx>
      <c:valAx>
        <c:axId val="71074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AVERAGE of CostPerCall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35877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AVERAGE of CostPerCall vs. Grouped AvgCallDuration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 1'!$E$1</c:f>
              <c:strCache>
                <c:ptCount val="1"/>
                <c:pt idx="0">
                  <c:v>AVERAGE of CostPerCall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'Pivot Table 1'!$D$2:$D$7</c:f>
              <c:strCache>
                <c:ptCount val="6"/>
                <c:pt idx="0">
                  <c:v>&gt;5</c:v>
                </c:pt>
                <c:pt idx="1">
                  <c:v>2-2,5</c:v>
                </c:pt>
                <c:pt idx="2">
                  <c:v>3,5-4</c:v>
                </c:pt>
                <c:pt idx="3">
                  <c:v>3-3,5</c:v>
                </c:pt>
                <c:pt idx="4">
                  <c:v>4,5-5</c:v>
                </c:pt>
                <c:pt idx="5">
                  <c:v>4-4,5</c:v>
                </c:pt>
              </c:strCache>
            </c:strRef>
          </c:cat>
          <c:val>
            <c:numRef>
              <c:f>'Pivot Table 1'!$E$2:$E$7</c:f>
              <c:numCache>
                <c:formatCode>General</c:formatCode>
                <c:ptCount val="6"/>
                <c:pt idx="0">
                  <c:v>26.422836185819062</c:v>
                </c:pt>
                <c:pt idx="1">
                  <c:v>18.64</c:v>
                </c:pt>
                <c:pt idx="2">
                  <c:v>21.509999999999998</c:v>
                </c:pt>
                <c:pt idx="3">
                  <c:v>19.95</c:v>
                </c:pt>
                <c:pt idx="4">
                  <c:v>23.479444444444443</c:v>
                </c:pt>
                <c:pt idx="5">
                  <c:v>22.326111111111114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B-4530-8C1D-7A4750BB0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4849630"/>
        <c:axId val="1533155000"/>
      </c:lineChart>
      <c:catAx>
        <c:axId val="18748496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Grouped AvgCallDuration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3155000"/>
        <c:crosses val="autoZero"/>
        <c:auto val="1"/>
        <c:lblAlgn val="ctr"/>
        <c:lblOffset val="100"/>
        <c:noMultiLvlLbl val="1"/>
      </c:catAx>
      <c:valAx>
        <c:axId val="1533155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AVERAGE of CostPerCall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48496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Team Performance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1'!$L$1</c:f>
              <c:strCache>
                <c:ptCount val="1"/>
                <c:pt idx="0">
                  <c:v>Average Cost Per Call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410-4EF7-9810-7B3FEF8A7345}"/>
              </c:ext>
            </c:extLst>
          </c:dPt>
          <c:dPt>
            <c:idx val="1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410-4EF7-9810-7B3FEF8A7345}"/>
              </c:ext>
            </c:extLst>
          </c:dPt>
          <c:dPt>
            <c:idx val="2"/>
            <c:invertIfNegative val="1"/>
            <c:bubble3D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410-4EF7-9810-7B3FEF8A73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1'!$K$2:$K$4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'Pivot Table 1'!$L$2:$L$4</c:f>
              <c:numCache>
                <c:formatCode>General</c:formatCode>
                <c:ptCount val="3"/>
                <c:pt idx="0">
                  <c:v>25.41</c:v>
                </c:pt>
                <c:pt idx="1">
                  <c:v>27.57</c:v>
                </c:pt>
                <c:pt idx="2">
                  <c:v>25.24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3410-4EF7-9810-7B3FEF8A7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0827299"/>
        <c:axId val="770882984"/>
      </c:barChart>
      <c:catAx>
        <c:axId val="1110827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0882984"/>
        <c:crosses val="autoZero"/>
        <c:auto val="1"/>
        <c:lblAlgn val="ctr"/>
        <c:lblOffset val="100"/>
        <c:noMultiLvlLbl val="1"/>
      </c:catAx>
      <c:valAx>
        <c:axId val="7708829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08272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1'!$K$6</c:f>
              <c:strCache>
                <c:ptCount val="1"/>
                <c:pt idx="0">
                  <c:v>EscalationRate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1'!$J$7:$J$9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'Pivot Table 1'!$K$7:$K$9</c:f>
              <c:numCache>
                <c:formatCode>0.00</c:formatCode>
                <c:ptCount val="3"/>
                <c:pt idx="0">
                  <c:v>16.038461538461533</c:v>
                </c:pt>
                <c:pt idx="1">
                  <c:v>15.333333333333332</c:v>
                </c:pt>
                <c:pt idx="2">
                  <c:v>16.166666666666664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CD-49E0-BD29-CCA44D046675}"/>
            </c:ext>
          </c:extLst>
        </c:ser>
        <c:ser>
          <c:idx val="1"/>
          <c:order val="1"/>
          <c:tx>
            <c:strRef>
              <c:f>'Pivot Table 1'!$L$6</c:f>
              <c:strCache>
                <c:ptCount val="1"/>
                <c:pt idx="0">
                  <c:v>Average Cost Per Call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1'!$J$7:$J$9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'Pivot Table 1'!$L$7:$L$9</c:f>
              <c:numCache>
                <c:formatCode>General</c:formatCode>
                <c:ptCount val="3"/>
                <c:pt idx="0">
                  <c:v>25.41</c:v>
                </c:pt>
                <c:pt idx="1">
                  <c:v>27.57</c:v>
                </c:pt>
                <c:pt idx="2">
                  <c:v>25.24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DCD-49E0-BD29-CCA44D046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518571"/>
        <c:axId val="683206208"/>
      </c:barChart>
      <c:catAx>
        <c:axId val="347518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3206208"/>
        <c:crosses val="autoZero"/>
        <c:auto val="1"/>
        <c:lblAlgn val="ctr"/>
        <c:lblOffset val="100"/>
        <c:noMultiLvlLbl val="1"/>
      </c:catAx>
      <c:valAx>
        <c:axId val="683206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75185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AVERAGE of CostPerCall vs. OvertimeHours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AVERAGE of CostPerCall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1'!$A$2:$A$6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(blank)</c:v>
                </c:pt>
              </c:strCache>
            </c:strRef>
          </c:cat>
          <c:val>
            <c:numRef>
              <c:f>'Pivot Table 1'!$B$2:$B$6</c:f>
              <c:numCache>
                <c:formatCode>General</c:formatCode>
                <c:ptCount val="5"/>
                <c:pt idx="0">
                  <c:v>24.754944237918224</c:v>
                </c:pt>
                <c:pt idx="1">
                  <c:v>26.658681318681321</c:v>
                </c:pt>
                <c:pt idx="2">
                  <c:v>28.896197183098586</c:v>
                </c:pt>
                <c:pt idx="3">
                  <c:v>31.386842105263153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E0C-4213-B5DB-6F6766690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5054566"/>
        <c:axId val="311428686"/>
      </c:barChart>
      <c:catAx>
        <c:axId val="1555054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OvertimeHours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1428686"/>
        <c:crosses val="autoZero"/>
        <c:auto val="1"/>
        <c:lblAlgn val="ctr"/>
        <c:lblOffset val="100"/>
        <c:noMultiLvlLbl val="1"/>
      </c:catAx>
      <c:valAx>
        <c:axId val="311428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AVERAGE of CostPerCall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505456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AVERAGE of CostPerCall vs. Grouped AvgCallDuration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 1'!$E$1</c:f>
              <c:strCache>
                <c:ptCount val="1"/>
                <c:pt idx="0">
                  <c:v>AVERAGE of CostPerCall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'Pivot Table 1'!$D$2:$D$7</c:f>
              <c:strCache>
                <c:ptCount val="6"/>
                <c:pt idx="0">
                  <c:v>&gt;5</c:v>
                </c:pt>
                <c:pt idx="1">
                  <c:v>2-2,5</c:v>
                </c:pt>
                <c:pt idx="2">
                  <c:v>3,5-4</c:v>
                </c:pt>
                <c:pt idx="3">
                  <c:v>3-3,5</c:v>
                </c:pt>
                <c:pt idx="4">
                  <c:v>4,5-5</c:v>
                </c:pt>
                <c:pt idx="5">
                  <c:v>4-4,5</c:v>
                </c:pt>
              </c:strCache>
            </c:strRef>
          </c:cat>
          <c:val>
            <c:numRef>
              <c:f>'Pivot Table 1'!$E$2:$E$7</c:f>
              <c:numCache>
                <c:formatCode>General</c:formatCode>
                <c:ptCount val="6"/>
                <c:pt idx="0">
                  <c:v>26.422836185819062</c:v>
                </c:pt>
                <c:pt idx="1">
                  <c:v>18.64</c:v>
                </c:pt>
                <c:pt idx="2">
                  <c:v>21.509999999999998</c:v>
                </c:pt>
                <c:pt idx="3">
                  <c:v>19.95</c:v>
                </c:pt>
                <c:pt idx="4">
                  <c:v>23.479444444444443</c:v>
                </c:pt>
                <c:pt idx="5">
                  <c:v>22.326111111111114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7-4493-9F0E-D0667BCDA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337138"/>
        <c:axId val="1310494006"/>
      </c:lineChart>
      <c:catAx>
        <c:axId val="947337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Grouped AvgCallDuration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0494006"/>
        <c:crosses val="autoZero"/>
        <c:auto val="1"/>
        <c:lblAlgn val="ctr"/>
        <c:lblOffset val="100"/>
        <c:noMultiLvlLbl val="1"/>
      </c:catAx>
      <c:valAx>
        <c:axId val="131049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AVERAGE of CostPerCall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73371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Team Performance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1'!$L$1</c:f>
              <c:strCache>
                <c:ptCount val="1"/>
                <c:pt idx="0">
                  <c:v>Average Cost Per Call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5E3-49BE-9BEF-E2EE7B34F124}"/>
              </c:ext>
            </c:extLst>
          </c:dPt>
          <c:dPt>
            <c:idx val="1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5E3-49BE-9BEF-E2EE7B34F124}"/>
              </c:ext>
            </c:extLst>
          </c:dPt>
          <c:dPt>
            <c:idx val="2"/>
            <c:invertIfNegative val="1"/>
            <c:bubble3D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5E3-49BE-9BEF-E2EE7B34F1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1'!$K$2:$K$4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'Pivot Table 1'!$L$2:$L$4</c:f>
              <c:numCache>
                <c:formatCode>General</c:formatCode>
                <c:ptCount val="3"/>
                <c:pt idx="0">
                  <c:v>25.41</c:v>
                </c:pt>
                <c:pt idx="1">
                  <c:v>27.57</c:v>
                </c:pt>
                <c:pt idx="2">
                  <c:v>25.24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C5E3-49BE-9BEF-E2EE7B34F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7001877"/>
        <c:axId val="466537811"/>
      </c:barChart>
      <c:catAx>
        <c:axId val="267001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6537811"/>
        <c:crosses val="autoZero"/>
        <c:auto val="1"/>
        <c:lblAlgn val="ctr"/>
        <c:lblOffset val="100"/>
        <c:noMultiLvlLbl val="1"/>
      </c:catAx>
      <c:valAx>
        <c:axId val="466537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70018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1'!$K$6</c:f>
              <c:strCache>
                <c:ptCount val="1"/>
                <c:pt idx="0">
                  <c:v>EscalationRate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1'!$J$7:$J$9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'Pivot Table 1'!$K$7:$K$9</c:f>
              <c:numCache>
                <c:formatCode>0.00</c:formatCode>
                <c:ptCount val="3"/>
                <c:pt idx="0">
                  <c:v>16.038461538461533</c:v>
                </c:pt>
                <c:pt idx="1">
                  <c:v>15.333333333333332</c:v>
                </c:pt>
                <c:pt idx="2">
                  <c:v>16.166666666666664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62-4D97-8ACE-0D15629A2605}"/>
            </c:ext>
          </c:extLst>
        </c:ser>
        <c:ser>
          <c:idx val="1"/>
          <c:order val="1"/>
          <c:tx>
            <c:strRef>
              <c:f>'Pivot Table 1'!$L$6</c:f>
              <c:strCache>
                <c:ptCount val="1"/>
                <c:pt idx="0">
                  <c:v>Average Cost Per Call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1'!$J$7:$J$9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'Pivot Table 1'!$L$7:$L$9</c:f>
              <c:numCache>
                <c:formatCode>General</c:formatCode>
                <c:ptCount val="3"/>
                <c:pt idx="0">
                  <c:v>25.41</c:v>
                </c:pt>
                <c:pt idx="1">
                  <c:v>27.57</c:v>
                </c:pt>
                <c:pt idx="2">
                  <c:v>25.24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62-4D97-8ACE-0D15629A2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1799034"/>
        <c:axId val="322207913"/>
      </c:barChart>
      <c:catAx>
        <c:axId val="1591799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2207913"/>
        <c:crosses val="autoZero"/>
        <c:auto val="1"/>
        <c:lblAlgn val="ctr"/>
        <c:lblOffset val="100"/>
        <c:noMultiLvlLbl val="1"/>
      </c:catAx>
      <c:valAx>
        <c:axId val="322207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17990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723900</xdr:colOff>
      <xdr:row>0</xdr:row>
      <xdr:rowOff>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104775</xdr:colOff>
      <xdr:row>0</xdr:row>
      <xdr:rowOff>0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876300</xdr:colOff>
      <xdr:row>19</xdr:row>
      <xdr:rowOff>66675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22</xdr:col>
      <xdr:colOff>38100</xdr:colOff>
      <xdr:row>19</xdr:row>
      <xdr:rowOff>0</xdr:rowOff>
    </xdr:from>
    <xdr:ext cx="5715000" cy="35337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219700" cy="26955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419100</xdr:colOff>
      <xdr:row>5</xdr:row>
      <xdr:rowOff>0</xdr:rowOff>
    </xdr:from>
    <xdr:ext cx="4495800" cy="26955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19050</xdr:rowOff>
    </xdr:from>
    <xdr:ext cx="5581650" cy="2990850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781050</xdr:colOff>
      <xdr:row>19</xdr:row>
      <xdr:rowOff>19050</xdr:rowOff>
    </xdr:from>
    <xdr:ext cx="4133850" cy="2990850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mikie malima" refreshedDate="46230.646050115742" refreshedVersion="8" recordCount="450" xr:uid="{00000000-000A-0000-FFFF-FFFF04000000}">
  <cacheSource type="worksheet">
    <worksheetSource ref="A1:M451" sheet="Sheet1"/>
  </cacheSource>
  <cacheFields count="13">
    <cacheField name="Team" numFmtId="0">
      <sharedItems/>
    </cacheField>
    <cacheField name="AgentID" numFmtId="0">
      <sharedItems/>
    </cacheField>
    <cacheField name="Day" numFmtId="0">
      <sharedItems/>
    </cacheField>
    <cacheField name="Shift" numFmtId="0">
      <sharedItems count="3">
        <s v="Morning"/>
        <s v="Afternoon"/>
        <s v="Evening"/>
      </sharedItems>
    </cacheField>
    <cacheField name="Experience" numFmtId="0">
      <sharedItems/>
    </cacheField>
    <cacheField name="CallsHandled" numFmtId="0">
      <sharedItems containsSemiMixedTypes="0" containsString="0" containsNumber="1" containsInteger="1" minValue="30" maxValue="79"/>
    </cacheField>
    <cacheField name="AvgCallDuration" numFmtId="0">
      <sharedItems containsSemiMixedTypes="0" containsString="0" containsNumber="1" minValue="2.4300000000000002" maxValue="10.130000000000001"/>
    </cacheField>
    <cacheField name="EscalationRate" numFmtId="0">
      <sharedItems containsSemiMixedTypes="0" containsString="0" containsNumber="1" minValue="0.02" maxValue="0.3"/>
    </cacheField>
    <cacheField name="FCRRate" numFmtId="0">
      <sharedItems containsSemiMixedTypes="0" containsString="0" containsNumber="1" minValue="0.6" maxValue="0.9"/>
    </cacheField>
    <cacheField name="CSATScore" numFmtId="0">
      <sharedItems containsSemiMixedTypes="0" containsString="0" containsNumber="1" minValue="3.5" maxValue="4.8"/>
    </cacheField>
    <cacheField name="OvertimeHours" numFmtId="0">
      <sharedItems containsSemiMixedTypes="0" containsString="0" containsNumber="1" containsInteger="1" minValue="0" maxValue="3"/>
    </cacheField>
    <cacheField name="CostPerCall" numFmtId="0">
      <sharedItems containsSemiMixedTypes="0" containsString="0" containsNumber="1" minValue="18.64" maxValue="35.75"/>
    </cacheField>
    <cacheField name="CostPerCall(High/Low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mikie malima" refreshedDate="46230.646050347219" refreshedVersion="8" recordCount="450" xr:uid="{00000000-000A-0000-FFFF-FFFF03000000}">
  <cacheSource type="worksheet">
    <worksheetSource ref="A1:M451" sheet="Sheet1"/>
  </cacheSource>
  <cacheFields count="13">
    <cacheField name="Team" numFmtId="0">
      <sharedItems/>
    </cacheField>
    <cacheField name="AgentID" numFmtId="0">
      <sharedItems/>
    </cacheField>
    <cacheField name="Day" numFmtId="0">
      <sharedItems/>
    </cacheField>
    <cacheField name="Shift" numFmtId="0">
      <sharedItems/>
    </cacheField>
    <cacheField name="Experience" numFmtId="0">
      <sharedItems/>
    </cacheField>
    <cacheField name="CallsHandled" numFmtId="0">
      <sharedItems containsSemiMixedTypes="0" containsString="0" containsNumber="1" containsInteger="1" minValue="30" maxValue="79"/>
    </cacheField>
    <cacheField name="AvgCallDuration" numFmtId="0">
      <sharedItems containsSemiMixedTypes="0" containsString="0" containsNumber="1" minValue="2.4300000000000002" maxValue="10.130000000000001"/>
    </cacheField>
    <cacheField name="EscalationRate" numFmtId="0">
      <sharedItems containsSemiMixedTypes="0" containsString="0" containsNumber="1" minValue="0.02" maxValue="0.3"/>
    </cacheField>
    <cacheField name="FCRRate" numFmtId="0">
      <sharedItems containsSemiMixedTypes="0" containsString="0" containsNumber="1" minValue="0.6" maxValue="0.9"/>
    </cacheField>
    <cacheField name="CSATScore" numFmtId="0">
      <sharedItems containsSemiMixedTypes="0" containsString="0" containsNumber="1" minValue="3.5" maxValue="4.8" count="127">
        <n v="3.63"/>
        <n v="4.76"/>
        <n v="4.18"/>
        <n v="4.3"/>
        <n v="4.72"/>
        <n v="4.07"/>
        <n v="4.05"/>
        <n v="4.5999999999999996"/>
        <n v="4.21"/>
        <n v="3.52"/>
        <n v="3.97"/>
        <n v="4.37"/>
        <n v="4.43"/>
        <n v="3.64"/>
        <n v="4.29"/>
        <n v="4.55"/>
        <n v="4.6500000000000004"/>
        <n v="4.5599999999999996"/>
        <n v="4.4000000000000004"/>
        <n v="4.75"/>
        <n v="3.85"/>
        <n v="4.1399999999999997"/>
        <n v="3.81"/>
        <n v="3.92"/>
        <n v="4.42"/>
        <n v="3.68"/>
        <n v="3.8"/>
        <n v="4.32"/>
        <n v="4.03"/>
        <n v="3.98"/>
        <n v="4.68"/>
        <n v="3.87"/>
        <n v="3.86"/>
        <n v="4.6100000000000003"/>
        <n v="4.1500000000000004"/>
        <n v="3.94"/>
        <n v="4.59"/>
        <n v="3.67"/>
        <n v="4.0599999999999996"/>
        <n v="3.62"/>
        <n v="3.96"/>
        <n v="3.9"/>
        <n v="4.63"/>
        <n v="4.0999999999999996"/>
        <n v="3.78"/>
        <n v="3.91"/>
        <n v="4.16"/>
        <n v="4.7300000000000004"/>
        <n v="4.57"/>
        <n v="4.51"/>
        <n v="4.24"/>
        <n v="4.22"/>
        <n v="4"/>
        <n v="4.09"/>
        <n v="4.28"/>
        <n v="4.78"/>
        <n v="3.57"/>
        <n v="4.26"/>
        <n v="3.53"/>
        <n v="4.6399999999999997"/>
        <n v="4.33"/>
        <n v="4.7699999999999996"/>
        <n v="4.2"/>
        <n v="4.67"/>
        <n v="4.7"/>
        <n v="3.55"/>
        <n v="4.2300000000000004"/>
        <n v="4.71"/>
        <n v="3.74"/>
        <n v="3.65"/>
        <n v="3.83"/>
        <n v="3.59"/>
        <n v="3.71"/>
        <n v="4.3099999999999996"/>
        <n v="3.82"/>
        <n v="3.99"/>
        <n v="3.66"/>
        <n v="4.47"/>
        <n v="3.95"/>
        <n v="4.6900000000000004"/>
        <n v="4.17"/>
        <n v="4.8"/>
        <n v="4.1100000000000003"/>
        <n v="3.93"/>
        <n v="3.75"/>
        <n v="4.46"/>
        <n v="4.3899999999999997"/>
        <n v="4.53"/>
        <n v="4.45"/>
        <n v="4.34"/>
        <n v="4.25"/>
        <n v="4.5199999999999996"/>
        <n v="4.79"/>
        <n v="4.54"/>
        <n v="3.7"/>
        <n v="4.62"/>
        <n v="3.84"/>
        <n v="4.4800000000000004"/>
        <n v="4.4400000000000004"/>
        <n v="3.5"/>
        <n v="4.2699999999999996"/>
        <n v="4.13"/>
        <n v="3.61"/>
        <n v="4.3499999999999996"/>
        <n v="4.08"/>
        <n v="3.72"/>
        <n v="4.1900000000000004"/>
        <n v="4.01"/>
        <n v="4.38"/>
        <n v="4.3600000000000003"/>
        <n v="3.58"/>
        <n v="4.04"/>
        <n v="4.12"/>
        <n v="4.66"/>
        <n v="4.58"/>
        <n v="4.74"/>
        <n v="3.54"/>
        <n v="3.76"/>
        <n v="4.49"/>
        <n v="3.79"/>
        <n v="3.56"/>
        <n v="3.69"/>
        <n v="4.5"/>
        <n v="3.77"/>
        <n v="3.88"/>
        <n v="3.89"/>
        <n v="3.51"/>
      </sharedItems>
      <fieldGroup base="9">
        <rangePr autoStart="0" autoEnd="0" startNum="3.5" endNum="5" groupInterval="0.2"/>
        <groupItems count="10">
          <s v="&lt;3,5"/>
          <s v="3,5-3,7"/>
          <s v="3,7-3,9"/>
          <s v="3,9-4,1"/>
          <s v="4,1-4,3"/>
          <s v="4,3-4,5"/>
          <s v="4,5-4,7"/>
          <s v="4,7-4,9"/>
          <s v="4,9-5,1"/>
          <s v="&gt;5,1"/>
        </groupItems>
      </fieldGroup>
    </cacheField>
    <cacheField name="OvertimeHours" numFmtId="0">
      <sharedItems containsSemiMixedTypes="0" containsString="0" containsNumber="1" containsInteger="1" minValue="0" maxValue="3"/>
    </cacheField>
    <cacheField name="CostPerCall" numFmtId="0">
      <sharedItems containsSemiMixedTypes="0" containsString="0" containsNumber="1" minValue="18.64" maxValue="35.75"/>
    </cacheField>
    <cacheField name="CostPerCall(High/Low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mikie malima" refreshedDate="46230.646050578704" refreshedVersion="8" recordCount="650" xr:uid="{00000000-000A-0000-FFFF-FFFF02000000}">
  <cacheSource type="worksheet">
    <worksheetSource ref="A1:Z651" sheet="Sheet1"/>
  </cacheSource>
  <cacheFields count="26">
    <cacheField name="Team" numFmtId="0">
      <sharedItems containsBlank="1" count="4">
        <s v="Team A"/>
        <s v="Team B"/>
        <s v="Team C"/>
        <m/>
      </sharedItems>
    </cacheField>
    <cacheField name="AgentID" numFmtId="0">
      <sharedItems containsBlank="1"/>
    </cacheField>
    <cacheField name="Day" numFmtId="0">
      <sharedItems containsBlank="1"/>
    </cacheField>
    <cacheField name="Shift" numFmtId="0">
      <sharedItems containsBlank="1"/>
    </cacheField>
    <cacheField name="Experience" numFmtId="0">
      <sharedItems containsBlank="1"/>
    </cacheField>
    <cacheField name="CallsHandled" numFmtId="0">
      <sharedItems containsString="0" containsBlank="1" containsNumber="1" containsInteger="1" minValue="30" maxValue="79" count="51">
        <n v="58"/>
        <n v="69"/>
        <n v="50"/>
        <n v="45"/>
        <n v="32"/>
        <n v="55"/>
        <n v="76"/>
        <n v="77"/>
        <n v="53"/>
        <n v="30"/>
        <n v="64"/>
        <n v="37"/>
        <n v="43"/>
        <n v="61"/>
        <n v="42"/>
        <n v="57"/>
        <n v="54"/>
        <n v="78"/>
        <n v="52"/>
        <n v="33"/>
        <n v="63"/>
        <n v="49"/>
        <n v="36"/>
        <n v="70"/>
        <n v="67"/>
        <n v="62"/>
        <n v="46"/>
        <n v="66"/>
        <n v="75"/>
        <n v="71"/>
        <n v="73"/>
        <n v="34"/>
        <n v="41"/>
        <n v="79"/>
        <n v="65"/>
        <n v="47"/>
        <n v="48"/>
        <n v="39"/>
        <n v="60"/>
        <n v="72"/>
        <n v="40"/>
        <n v="51"/>
        <n v="35"/>
        <n v="38"/>
        <n v="31"/>
        <n v="44"/>
        <n v="68"/>
        <n v="59"/>
        <n v="74"/>
        <n v="56"/>
        <m/>
      </sharedItems>
      <fieldGroup base="5">
        <rangePr autoStart="0" autoEnd="0" startNum="30" endNum="80" groupInterval="10"/>
        <groupItems count="7">
          <s v="&lt;30 or (blank)"/>
          <s v="30-39"/>
          <s v="40-49"/>
          <s v="50-59"/>
          <s v="60-69"/>
          <s v="70-80"/>
          <s v="&gt;80"/>
        </groupItems>
      </fieldGroup>
    </cacheField>
    <cacheField name="AvgCallDuration" numFmtId="0">
      <sharedItems containsString="0" containsBlank="1" containsNumber="1" minValue="2.4300000000000002" maxValue="10.130000000000001"/>
    </cacheField>
    <cacheField name="EscalationRate" numFmtId="0">
      <sharedItems containsString="0" containsBlank="1" containsNumber="1" minValue="0.02" maxValue="0.3"/>
    </cacheField>
    <cacheField name="FCRRate" numFmtId="0">
      <sharedItems containsString="0" containsBlank="1" containsNumber="1" minValue="0.6" maxValue="0.9"/>
    </cacheField>
    <cacheField name="CSATScore" numFmtId="0">
      <sharedItems containsString="0" containsBlank="1" containsNumber="1" minValue="3.5" maxValue="4.8"/>
    </cacheField>
    <cacheField name="OvertimeHours" numFmtId="0">
      <sharedItems containsString="0" containsBlank="1" containsNumber="1" containsInteger="1" minValue="0" maxValue="3"/>
    </cacheField>
    <cacheField name="CostPerCall" numFmtId="0">
      <sharedItems containsString="0" containsBlank="1" containsNumber="1" minValue="18.64" maxValue="35.75"/>
    </cacheField>
    <cacheField name="CostPerCall(High/Low)" numFmtId="0">
      <sharedItems containsBlank="1"/>
    </cacheField>
    <cacheField name=" " numFmtId="0">
      <sharedItems containsNonDate="0" containsString="0" containsBlank="1"/>
    </cacheField>
    <cacheField name=" 2" numFmtId="0">
      <sharedItems containsBlank="1"/>
    </cacheField>
    <cacheField name=" 3" numFmtId="0">
      <sharedItems containsString="0" containsBlank="1" containsNumber="1" minValue="22" maxValue="113"/>
    </cacheField>
    <cacheField name=" 4" numFmtId="0">
      <sharedItems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mikie malima" refreshedDate="46230.646050694442" refreshedVersion="8" recordCount="450" xr:uid="{00000000-000A-0000-FFFF-FFFF01000000}">
  <cacheSource type="worksheet">
    <worksheetSource ref="A1:M451" sheet="Sheet1"/>
  </cacheSource>
  <cacheFields count="13">
    <cacheField name="Team" numFmtId="0">
      <sharedItems/>
    </cacheField>
    <cacheField name="AgentID" numFmtId="0">
      <sharedItems/>
    </cacheField>
    <cacheField name="Day" numFmtId="0">
      <sharedItems/>
    </cacheField>
    <cacheField name="Shift" numFmtId="0">
      <sharedItems/>
    </cacheField>
    <cacheField name="Experience" numFmtId="0">
      <sharedItems/>
    </cacheField>
    <cacheField name="CallsHandled" numFmtId="0">
      <sharedItems containsSemiMixedTypes="0" containsString="0" containsNumber="1" containsInteger="1" minValue="30" maxValue="79"/>
    </cacheField>
    <cacheField name="AvgCallDuration" numFmtId="0">
      <sharedItems containsSemiMixedTypes="0" containsString="0" containsNumber="1" minValue="2.4300000000000002" maxValue="10.130000000000001" count="281">
        <n v="6.54"/>
        <n v="5.38"/>
        <n v="7.46"/>
        <n v="7.54"/>
        <n v="6.42"/>
        <n v="6.83"/>
        <n v="5.61"/>
        <n v="4.84"/>
        <n v="6.75"/>
        <n v="4.16"/>
        <n v="5.96"/>
        <n v="5.72"/>
        <n v="5.0999999999999996"/>
        <n v="5.89"/>
        <n v="9.3699999999999992"/>
        <n v="5.08"/>
        <n v="5.79"/>
        <n v="5.57"/>
        <n v="5.3"/>
        <n v="5.67"/>
        <n v="7.89"/>
        <n v="6.17"/>
        <n v="6.48"/>
        <n v="5.74"/>
        <n v="6.59"/>
        <n v="8.19"/>
        <n v="5.09"/>
        <n v="5.68"/>
        <n v="6.29"/>
        <n v="5.29"/>
        <n v="6.94"/>
        <n v="8.7200000000000006"/>
        <n v="5.88"/>
        <n v="6.74"/>
        <n v="5.12"/>
        <n v="6.15"/>
        <n v="6.3"/>
        <n v="6.26"/>
        <n v="4.8"/>
        <n v="7.2"/>
        <n v="5.95"/>
        <n v="6.52"/>
        <n v="5.14"/>
        <n v="6.84"/>
        <n v="8.1199999999999992"/>
        <n v="7.03"/>
        <n v="5.98"/>
        <n v="5.07"/>
        <n v="6.97"/>
        <n v="6.5"/>
        <n v="7.06"/>
        <n v="5.97"/>
        <n v="4.28"/>
        <n v="6.49"/>
        <n v="4.47"/>
        <n v="6.32"/>
        <n v="5.87"/>
        <n v="7.81"/>
        <n v="6.4"/>
        <n v="6.45"/>
        <n v="4.54"/>
        <n v="5.28"/>
        <n v="4.12"/>
        <n v="5.66"/>
        <n v="6.46"/>
        <n v="5.03"/>
        <n v="4.79"/>
        <n v="7.59"/>
        <n v="7.48"/>
        <n v="7.24"/>
        <n v="5.69"/>
        <n v="4.4000000000000004"/>
        <n v="7.18"/>
        <n v="6.07"/>
        <n v="4.24"/>
        <n v="5.99"/>
        <n v="6.8"/>
        <n v="6.37"/>
        <n v="5.0599999999999996"/>
        <n v="4.57"/>
        <n v="5.81"/>
        <n v="6.18"/>
        <n v="5.22"/>
        <n v="6.47"/>
        <n v="6.65"/>
        <n v="6.22"/>
        <n v="6.91"/>
        <n v="4.58"/>
        <n v="6.6"/>
        <n v="6.05"/>
        <n v="5.17"/>
        <n v="8.0399999999999991"/>
        <n v="7.62"/>
        <n v="5.8"/>
        <n v="8.39"/>
        <n v="5.4"/>
        <n v="6.34"/>
        <n v="5.59"/>
        <n v="5.32"/>
        <n v="3.77"/>
        <n v="6.92"/>
        <n v="7.09"/>
        <n v="7.84"/>
        <n v="7.33"/>
        <n v="8"/>
        <n v="5.01"/>
        <n v="4.99"/>
        <n v="4.3499999999999996"/>
        <n v="4.6399999999999997"/>
        <n v="4.09"/>
        <n v="5.44"/>
        <n v="2.4300000000000002"/>
        <n v="7.02"/>
        <n v="6.71"/>
        <n v="6.44"/>
        <n v="4.33"/>
        <n v="7.76"/>
        <n v="5.64"/>
        <n v="4.96"/>
        <n v="5.78"/>
        <n v="5.77"/>
        <n v="7.21"/>
        <n v="6.24"/>
        <n v="6.23"/>
        <n v="5.34"/>
        <n v="5.55"/>
        <n v="6.63"/>
        <n v="4.92"/>
        <n v="7.05"/>
        <n v="8.7799999999999994"/>
        <n v="7.58"/>
        <n v="8.57"/>
        <n v="5.82"/>
        <n v="9.0500000000000007"/>
        <n v="7.67"/>
        <n v="7.99"/>
        <n v="7.13"/>
        <n v="6.33"/>
        <n v="6.9"/>
        <n v="7.47"/>
        <n v="8.41"/>
        <n v="7.82"/>
        <n v="6.87"/>
        <n v="6.69"/>
        <n v="8.36"/>
        <n v="8.69"/>
        <n v="7.26"/>
        <n v="9.41"/>
        <n v="8.67"/>
        <n v="7.16"/>
        <n v="7.34"/>
        <n v="6.31"/>
        <n v="6.14"/>
        <n v="5.92"/>
        <n v="8.26"/>
        <n v="8.02"/>
        <n v="9.2799999999999994"/>
        <n v="7.85"/>
        <n v="7.63"/>
        <n v="8.15"/>
        <n v="9.48"/>
        <n v="6.93"/>
        <n v="5.83"/>
        <n v="8.58"/>
        <n v="6.21"/>
        <n v="8.66"/>
        <n v="6.11"/>
        <n v="7.3"/>
        <n v="5.04"/>
        <n v="7.56"/>
        <n v="8.17"/>
        <n v="6.98"/>
        <n v="6.39"/>
        <n v="8.2899999999999991"/>
        <n v="7.11"/>
        <n v="9.14"/>
        <n v="8.51"/>
        <n v="9.83"/>
        <n v="8.23"/>
        <n v="7.4"/>
        <n v="6.09"/>
        <n v="7.97"/>
        <n v="7.64"/>
        <n v="6.78"/>
        <n v="9.1199999999999992"/>
        <n v="8.07"/>
        <n v="9.1300000000000008"/>
        <n v="7.7"/>
        <n v="8.3699999999999992"/>
        <n v="5.7"/>
        <n v="5.16"/>
        <n v="7"/>
        <n v="7.66"/>
        <n v="9.9700000000000006"/>
        <n v="7.95"/>
        <n v="8.08"/>
        <n v="8.43"/>
        <n v="7.04"/>
        <n v="6.89"/>
        <n v="7.37"/>
        <n v="8.49"/>
        <n v="6.95"/>
        <n v="9.33"/>
        <n v="6.53"/>
        <n v="8.11"/>
        <n v="8.81"/>
        <n v="7.77"/>
        <n v="6.99"/>
        <n v="7.73"/>
        <n v="8.2200000000000006"/>
        <n v="8.1"/>
        <n v="8.27"/>
        <n v="10.130000000000001"/>
        <n v="9.06"/>
        <n v="6.25"/>
        <n v="9.7100000000000009"/>
        <n v="7.69"/>
        <n v="5.73"/>
        <n v="7.71"/>
        <n v="7.12"/>
        <n v="6.55"/>
        <n v="8.3800000000000008"/>
        <n v="7.96"/>
        <n v="6.7"/>
        <n v="5.37"/>
        <n v="3.24"/>
        <n v="6.35"/>
        <n v="5.76"/>
        <n v="5.63"/>
        <n v="5.21"/>
        <n v="5.41"/>
        <n v="5.62"/>
        <n v="4.8600000000000003"/>
        <n v="5.56"/>
        <n v="4.3"/>
        <n v="6.73"/>
        <n v="5.35"/>
        <n v="7.22"/>
        <n v="7.75"/>
        <n v="6.19"/>
        <n v="8.48"/>
        <n v="4.2"/>
        <n v="4.42"/>
        <n v="5.39"/>
        <n v="6.56"/>
        <n v="5.25"/>
        <n v="4.34"/>
        <n v="4.59"/>
        <n v="5.53"/>
        <n v="7.07"/>
        <n v="4.72"/>
        <n v="6.16"/>
        <n v="4.1900000000000004"/>
        <n v="7.94"/>
        <n v="4.9800000000000004"/>
        <n v="7.15"/>
        <n v="5.47"/>
        <n v="5.36"/>
        <n v="6.43"/>
        <n v="5.45"/>
        <n v="5.84"/>
        <n v="6.51"/>
        <n v="3.57"/>
        <n v="3.36"/>
        <n v="6.02"/>
        <n v="6.41"/>
        <n v="6.01"/>
        <n v="6.04"/>
        <n v="4.45"/>
        <n v="5.51"/>
        <n v="4.66"/>
        <n v="5.05"/>
        <n v="5.19"/>
        <n v="6.96"/>
        <n v="5.58"/>
        <n v="7.08"/>
        <n v="7.25"/>
        <n v="5.5"/>
        <n v="4.5"/>
        <n v="6.2"/>
        <n v="6.28"/>
      </sharedItems>
      <fieldGroup base="6">
        <rangePr autoStart="0" autoEnd="0" startNum="2" endNum="5" groupInterval="0.5"/>
        <groupItems count="8">
          <s v="&lt;2"/>
          <s v="2-2,5"/>
          <s v="2,5-3"/>
          <s v="3-3,5"/>
          <s v="3,5-4"/>
          <s v="4-4,5"/>
          <s v="4,5-5"/>
          <s v="&gt;5"/>
        </groupItems>
      </fieldGroup>
    </cacheField>
    <cacheField name="EscalationRate" numFmtId="0">
      <sharedItems containsSemiMixedTypes="0" containsString="0" containsNumber="1" minValue="0.02" maxValue="0.3"/>
    </cacheField>
    <cacheField name="FCRRate" numFmtId="0">
      <sharedItems containsSemiMixedTypes="0" containsString="0" containsNumber="1" minValue="0.6" maxValue="0.9"/>
    </cacheField>
    <cacheField name="CSATScore" numFmtId="0">
      <sharedItems containsSemiMixedTypes="0" containsString="0" containsNumber="1" minValue="3.5" maxValue="4.8"/>
    </cacheField>
    <cacheField name="OvertimeHours" numFmtId="0">
      <sharedItems containsSemiMixedTypes="0" containsString="0" containsNumber="1" containsInteger="1" minValue="0" maxValue="3"/>
    </cacheField>
    <cacheField name="CostPerCall" numFmtId="0">
      <sharedItems containsSemiMixedTypes="0" containsString="0" containsNumber="1" minValue="18.64" maxValue="35.75"/>
    </cacheField>
    <cacheField name="CostPerCall(High/Low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mikie malima" refreshedDate="46230.646050925927" refreshedVersion="8" recordCount="650" xr:uid="{00000000-000A-0000-FFFF-FFFF00000000}">
  <cacheSource type="worksheet">
    <worksheetSource ref="A1:Z651" sheet="Sheet1"/>
  </cacheSource>
  <cacheFields count="26">
    <cacheField name="Team" numFmtId="0">
      <sharedItems containsBlank="1" count="4">
        <s v="Team A"/>
        <s v="Team B"/>
        <s v="Team C"/>
        <m/>
      </sharedItems>
    </cacheField>
    <cacheField name="AgentID" numFmtId="0">
      <sharedItems containsBlank="1"/>
    </cacheField>
    <cacheField name="Day" numFmtId="0">
      <sharedItems containsBlank="1"/>
    </cacheField>
    <cacheField name="Shift" numFmtId="0">
      <sharedItems containsBlank="1"/>
    </cacheField>
    <cacheField name="Experience" numFmtId="0">
      <sharedItems containsBlank="1" count="4">
        <s v="3-6 months"/>
        <s v="0-3 months"/>
        <s v="6+ months"/>
        <m/>
      </sharedItems>
    </cacheField>
    <cacheField name="CallsHandled" numFmtId="0">
      <sharedItems containsString="0" containsBlank="1" containsNumber="1" containsInteger="1" minValue="30" maxValue="79"/>
    </cacheField>
    <cacheField name="AvgCallDuration" numFmtId="0">
      <sharedItems containsString="0" containsBlank="1" containsNumber="1" minValue="2.4300000000000002" maxValue="10.130000000000001"/>
    </cacheField>
    <cacheField name="EscalationRate" numFmtId="0">
      <sharedItems containsString="0" containsBlank="1" containsNumber="1" minValue="0.02" maxValue="0.3" count="30">
        <n v="0.1"/>
        <n v="0.11"/>
        <n v="0.05"/>
        <n v="0.08"/>
        <n v="0.03"/>
        <n v="0.04"/>
        <n v="0.15"/>
        <n v="0.09"/>
        <n v="7.0000000000000007E-2"/>
        <n v="0.12"/>
        <n v="0.17"/>
        <n v="0.18"/>
        <n v="0.14000000000000001"/>
        <n v="0.13"/>
        <n v="0.19"/>
        <n v="0.02"/>
        <n v="0.28999999999999998"/>
        <n v="0.28000000000000003"/>
        <n v="0.26"/>
        <n v="0.16"/>
        <n v="0.22"/>
        <n v="0.27"/>
        <n v="0.06"/>
        <n v="0.24"/>
        <n v="0.3"/>
        <n v="0.2"/>
        <n v="0.25"/>
        <n v="0.23"/>
        <n v="0.21"/>
        <m/>
      </sharedItems>
    </cacheField>
    <cacheField name="FCRRate" numFmtId="0">
      <sharedItems containsString="0" containsBlank="1" containsNumber="1" minValue="0.6" maxValue="0.9"/>
    </cacheField>
    <cacheField name="CSATScore" numFmtId="0">
      <sharedItems containsString="0" containsBlank="1" containsNumber="1" minValue="3.5" maxValue="4.8"/>
    </cacheField>
    <cacheField name="OvertimeHours" numFmtId="0">
      <sharedItems containsString="0" containsBlank="1" containsNumber="1" containsInteger="1" minValue="0" maxValue="3" count="5">
        <n v="0"/>
        <n v="2"/>
        <n v="1"/>
        <n v="3"/>
        <m/>
      </sharedItems>
    </cacheField>
    <cacheField name="CostPerCall" numFmtId="0">
      <sharedItems containsString="0" containsBlank="1" containsNumber="1" minValue="18.64" maxValue="35.75"/>
    </cacheField>
    <cacheField name="CostPerCall(High/Low)" numFmtId="0">
      <sharedItems containsBlank="1"/>
    </cacheField>
    <cacheField name=" " numFmtId="0">
      <sharedItems containsNonDate="0" containsString="0" containsBlank="1"/>
    </cacheField>
    <cacheField name=" 2" numFmtId="0">
      <sharedItems containsBlank="1"/>
    </cacheField>
    <cacheField name=" 3" numFmtId="0">
      <sharedItems containsString="0" containsBlank="1" containsNumber="1" minValue="22" maxValue="113"/>
    </cacheField>
    <cacheField name=" 4" numFmtId="0">
      <sharedItems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s v="Team A"/>
    <s v="Agent_1"/>
    <s v="Monday"/>
    <x v="0"/>
    <s v="3-6 months"/>
    <n v="58"/>
    <n v="6.54"/>
    <n v="0.1"/>
    <n v="0.82"/>
    <n v="3.63"/>
    <n v="0"/>
    <n v="24.81"/>
    <s v="Low"/>
  </r>
  <r>
    <s v="Team A"/>
    <s v="Agent_1"/>
    <s v="Monday"/>
    <x v="1"/>
    <s v="3-6 months"/>
    <n v="69"/>
    <n v="5.38"/>
    <n v="0.11"/>
    <n v="0.75"/>
    <n v="4.76"/>
    <n v="2"/>
    <n v="27.07"/>
    <s v="Low"/>
  </r>
  <r>
    <s v="Team A"/>
    <s v="Agent_1"/>
    <s v="Monday"/>
    <x v="2"/>
    <s v="0-3 months"/>
    <n v="50"/>
    <n v="7.46"/>
    <n v="0.05"/>
    <n v="0.61"/>
    <n v="4.18"/>
    <n v="0"/>
    <n v="26.19"/>
    <s v="Low"/>
  </r>
  <r>
    <s v="Team A"/>
    <s v="Agent_1"/>
    <s v="Tuesday"/>
    <x v="0"/>
    <s v="0-3 months"/>
    <n v="45"/>
    <n v="7.54"/>
    <n v="0.11"/>
    <n v="0.76"/>
    <n v="4.3"/>
    <n v="0"/>
    <n v="26.31"/>
    <s v="Low"/>
  </r>
  <r>
    <s v="Team A"/>
    <s v="Agent_1"/>
    <s v="Tuesday"/>
    <x v="1"/>
    <s v="6+ months"/>
    <n v="32"/>
    <n v="6.42"/>
    <n v="0.08"/>
    <n v="0.75"/>
    <n v="4.72"/>
    <n v="0"/>
    <n v="24.63"/>
    <s v="Low"/>
  </r>
  <r>
    <s v="Team A"/>
    <s v="Agent_1"/>
    <s v="Tuesday"/>
    <x v="2"/>
    <s v="3-6 months"/>
    <n v="55"/>
    <n v="6.83"/>
    <n v="0.03"/>
    <n v="0.77"/>
    <n v="4.07"/>
    <n v="0"/>
    <n v="25.24"/>
    <s v="Low"/>
  </r>
  <r>
    <s v="Team A"/>
    <s v="Agent_1"/>
    <s v="Wednesday"/>
    <x v="0"/>
    <s v="3-6 months"/>
    <n v="76"/>
    <n v="5.61"/>
    <n v="0.04"/>
    <n v="0.86"/>
    <n v="4.05"/>
    <n v="0"/>
    <n v="23.42"/>
    <s v="Low"/>
  </r>
  <r>
    <s v="Team A"/>
    <s v="Agent_1"/>
    <s v="Wednesday"/>
    <x v="1"/>
    <s v="3-6 months"/>
    <n v="58"/>
    <n v="4.84"/>
    <n v="0.15"/>
    <n v="0.87"/>
    <n v="4.72"/>
    <n v="2"/>
    <n v="26.26"/>
    <s v="Low"/>
  </r>
  <r>
    <s v="Team A"/>
    <s v="Agent_1"/>
    <s v="Wednesday"/>
    <x v="2"/>
    <s v="3-6 months"/>
    <n v="77"/>
    <n v="6.75"/>
    <n v="0.09"/>
    <n v="0.84"/>
    <n v="4.5999999999999996"/>
    <n v="1"/>
    <n v="27.12"/>
    <s v="Low"/>
  </r>
  <r>
    <s v="Team A"/>
    <s v="Agent_1"/>
    <s v="Thursday"/>
    <x v="0"/>
    <s v="3-6 months"/>
    <n v="53"/>
    <n v="4.16"/>
    <n v="7.0000000000000007E-2"/>
    <n v="0.79"/>
    <n v="4.21"/>
    <n v="0"/>
    <n v="21.24"/>
    <s v="Low"/>
  </r>
  <r>
    <s v="Team A"/>
    <s v="Agent_1"/>
    <s v="Thursday"/>
    <x v="1"/>
    <s v="6+ months"/>
    <n v="30"/>
    <n v="5.96"/>
    <n v="7.0000000000000007E-2"/>
    <n v="0.79"/>
    <n v="3.52"/>
    <n v="0"/>
    <n v="23.94"/>
    <s v="Low"/>
  </r>
  <r>
    <s v="Team A"/>
    <s v="Agent_1"/>
    <s v="Thursday"/>
    <x v="2"/>
    <s v="6+ months"/>
    <n v="64"/>
    <n v="5.72"/>
    <n v="0.12"/>
    <n v="0.62"/>
    <n v="3.97"/>
    <n v="0"/>
    <n v="23.58"/>
    <s v="Low"/>
  </r>
  <r>
    <s v="Team A"/>
    <s v="Agent_1"/>
    <s v="Friday"/>
    <x v="0"/>
    <s v="6+ months"/>
    <n v="37"/>
    <n v="5.0999999999999996"/>
    <n v="7.0000000000000007E-2"/>
    <n v="0.85"/>
    <n v="4.37"/>
    <n v="0"/>
    <n v="22.65"/>
    <s v="Low"/>
  </r>
  <r>
    <s v="Team A"/>
    <s v="Agent_1"/>
    <s v="Friday"/>
    <x v="1"/>
    <s v="0-3 months"/>
    <n v="64"/>
    <n v="5.89"/>
    <n v="0.17"/>
    <n v="0.77"/>
    <n v="4.43"/>
    <n v="1"/>
    <n v="25.84"/>
    <s v="Low"/>
  </r>
  <r>
    <s v="Team A"/>
    <s v="Agent_1"/>
    <s v="Friday"/>
    <x v="2"/>
    <s v="3-6 months"/>
    <n v="43"/>
    <n v="9.3699999999999992"/>
    <n v="0.08"/>
    <n v="0.61"/>
    <n v="3.64"/>
    <n v="0"/>
    <n v="29.06"/>
    <s v="High"/>
  </r>
  <r>
    <s v="Team A"/>
    <s v="Agent_2"/>
    <s v="Monday"/>
    <x v="0"/>
    <s v="3-6 months"/>
    <n v="61"/>
    <n v="5.08"/>
    <n v="0.11"/>
    <n v="0.77"/>
    <n v="4.29"/>
    <n v="0"/>
    <n v="22.62"/>
    <s v="Low"/>
  </r>
  <r>
    <s v="Team A"/>
    <s v="Agent_2"/>
    <s v="Monday"/>
    <x v="1"/>
    <s v="0-3 months"/>
    <n v="42"/>
    <n v="5.79"/>
    <n v="0.09"/>
    <n v="0.89"/>
    <n v="4.55"/>
    <n v="1"/>
    <n v="25.68"/>
    <s v="Low"/>
  </r>
  <r>
    <s v="Team A"/>
    <s v="Agent_2"/>
    <s v="Monday"/>
    <x v="2"/>
    <s v="6+ months"/>
    <n v="57"/>
    <n v="5.57"/>
    <n v="0.05"/>
    <n v="0.7"/>
    <n v="4.6500000000000004"/>
    <n v="0"/>
    <n v="23.36"/>
    <s v="Low"/>
  </r>
  <r>
    <s v="Team A"/>
    <s v="Agent_2"/>
    <s v="Tuesday"/>
    <x v="0"/>
    <s v="0-3 months"/>
    <n v="54"/>
    <n v="5.3"/>
    <n v="0.11"/>
    <n v="0.81"/>
    <n v="4.5599999999999996"/>
    <n v="2"/>
    <n v="26.95"/>
    <s v="Low"/>
  </r>
  <r>
    <s v="Team A"/>
    <s v="Agent_2"/>
    <s v="Tuesday"/>
    <x v="1"/>
    <s v="0-3 months"/>
    <n v="37"/>
    <n v="5.67"/>
    <n v="0.18"/>
    <n v="0.82"/>
    <n v="4.4000000000000004"/>
    <n v="0"/>
    <n v="23.5"/>
    <s v="Low"/>
  </r>
  <r>
    <s v="Team A"/>
    <s v="Agent_2"/>
    <s v="Tuesday"/>
    <x v="2"/>
    <s v="0-3 months"/>
    <n v="61"/>
    <n v="7.89"/>
    <n v="0.14000000000000001"/>
    <n v="0.84"/>
    <n v="4.75"/>
    <n v="0"/>
    <n v="26.84"/>
    <s v="Low"/>
  </r>
  <r>
    <s v="Team A"/>
    <s v="Agent_2"/>
    <s v="Wednesday"/>
    <x v="0"/>
    <s v="3-6 months"/>
    <n v="78"/>
    <n v="6.17"/>
    <n v="0.04"/>
    <n v="0.9"/>
    <n v="3.85"/>
    <n v="3"/>
    <n v="30.26"/>
    <s v="High"/>
  </r>
  <r>
    <s v="Team A"/>
    <s v="Agent_2"/>
    <s v="Wednesday"/>
    <x v="1"/>
    <s v="3-6 months"/>
    <n v="52"/>
    <n v="6.48"/>
    <n v="0.05"/>
    <n v="0.77"/>
    <n v="4.1399999999999997"/>
    <n v="3"/>
    <n v="30.72"/>
    <s v="High"/>
  </r>
  <r>
    <s v="Team A"/>
    <s v="Agent_2"/>
    <s v="Wednesday"/>
    <x v="2"/>
    <s v="0-3 months"/>
    <n v="33"/>
    <n v="5.74"/>
    <n v="7.0000000000000007E-2"/>
    <n v="0.69"/>
    <n v="3.81"/>
    <n v="2"/>
    <n v="27.61"/>
    <s v="Low"/>
  </r>
  <r>
    <s v="Team A"/>
    <s v="Agent_2"/>
    <s v="Thursday"/>
    <x v="0"/>
    <s v="3-6 months"/>
    <n v="63"/>
    <n v="6.59"/>
    <n v="0.03"/>
    <n v="0.88"/>
    <n v="3.92"/>
    <n v="0"/>
    <n v="24.88"/>
    <s v="Low"/>
  </r>
  <r>
    <s v="Team A"/>
    <s v="Agent_2"/>
    <s v="Thursday"/>
    <x v="1"/>
    <s v="0-3 months"/>
    <n v="49"/>
    <n v="8.19"/>
    <n v="0.13"/>
    <n v="0.78"/>
    <n v="4.42"/>
    <n v="2"/>
    <n v="31.28"/>
    <s v="High"/>
  </r>
  <r>
    <s v="Team A"/>
    <s v="Agent_2"/>
    <s v="Thursday"/>
    <x v="2"/>
    <s v="3-6 months"/>
    <n v="36"/>
    <n v="6.54"/>
    <n v="7.0000000000000007E-2"/>
    <n v="0.83"/>
    <n v="3.68"/>
    <n v="0"/>
    <n v="24.81"/>
    <s v="Low"/>
  </r>
  <r>
    <s v="Team A"/>
    <s v="Agent_2"/>
    <s v="Friday"/>
    <x v="0"/>
    <s v="0-3 months"/>
    <n v="52"/>
    <n v="5.09"/>
    <n v="0.19"/>
    <n v="0.85"/>
    <n v="3.8"/>
    <n v="0"/>
    <n v="22.64"/>
    <s v="Low"/>
  </r>
  <r>
    <s v="Team A"/>
    <s v="Agent_2"/>
    <s v="Friday"/>
    <x v="1"/>
    <s v="6+ months"/>
    <n v="78"/>
    <n v="5.68"/>
    <n v="0.14000000000000001"/>
    <n v="0.89"/>
    <n v="4.32"/>
    <n v="0"/>
    <n v="23.52"/>
    <s v="Low"/>
  </r>
  <r>
    <s v="Team A"/>
    <s v="Agent_2"/>
    <s v="Friday"/>
    <x v="2"/>
    <s v="3-6 months"/>
    <n v="77"/>
    <n v="5.79"/>
    <n v="0.13"/>
    <n v="0.81"/>
    <n v="4.03"/>
    <n v="2"/>
    <n v="27.68"/>
    <s v="Low"/>
  </r>
  <r>
    <s v="Team A"/>
    <s v="Agent_3"/>
    <s v="Monday"/>
    <x v="0"/>
    <s v="6+ months"/>
    <n v="78"/>
    <n v="6.29"/>
    <n v="0.02"/>
    <n v="0.77"/>
    <n v="4.21"/>
    <n v="1"/>
    <n v="26.44"/>
    <s v="Low"/>
  </r>
  <r>
    <s v="Team A"/>
    <s v="Agent_3"/>
    <s v="Monday"/>
    <x v="1"/>
    <s v="3-6 months"/>
    <n v="70"/>
    <n v="5.29"/>
    <n v="0.04"/>
    <n v="0.75"/>
    <n v="4.1399999999999997"/>
    <n v="0"/>
    <n v="22.94"/>
    <s v="Low"/>
  </r>
  <r>
    <s v="Team A"/>
    <s v="Agent_3"/>
    <s v="Monday"/>
    <x v="2"/>
    <s v="3-6 months"/>
    <n v="37"/>
    <n v="6.42"/>
    <n v="0.09"/>
    <n v="0.62"/>
    <n v="3.98"/>
    <n v="0"/>
    <n v="24.63"/>
    <s v="Low"/>
  </r>
  <r>
    <s v="Team A"/>
    <s v="Agent_3"/>
    <s v="Tuesday"/>
    <x v="0"/>
    <s v="0-3 months"/>
    <n v="67"/>
    <n v="6.94"/>
    <n v="0.28999999999999998"/>
    <n v="0.82"/>
    <n v="4.68"/>
    <n v="0"/>
    <n v="25.41"/>
    <s v="Low"/>
  </r>
  <r>
    <s v="Team A"/>
    <s v="Agent_3"/>
    <s v="Tuesday"/>
    <x v="1"/>
    <s v="3-6 months"/>
    <n v="62"/>
    <n v="5.74"/>
    <n v="0.05"/>
    <n v="0.86"/>
    <n v="3.87"/>
    <n v="0"/>
    <n v="23.61"/>
    <s v="Low"/>
  </r>
  <r>
    <s v="Team A"/>
    <s v="Agent_3"/>
    <s v="Tuesday"/>
    <x v="2"/>
    <s v="3-6 months"/>
    <n v="46"/>
    <n v="8.7200000000000006"/>
    <n v="0.15"/>
    <n v="0.72"/>
    <n v="3.86"/>
    <n v="2"/>
    <n v="32.08"/>
    <s v="High"/>
  </r>
  <r>
    <s v="Team A"/>
    <s v="Agent_3"/>
    <s v="Wednesday"/>
    <x v="0"/>
    <s v="6+ months"/>
    <n v="66"/>
    <n v="5.88"/>
    <n v="0.15"/>
    <n v="0.89"/>
    <n v="4.6100000000000003"/>
    <n v="0"/>
    <n v="23.82"/>
    <s v="Low"/>
  </r>
  <r>
    <s v="Team A"/>
    <s v="Agent_3"/>
    <s v="Wednesday"/>
    <x v="1"/>
    <s v="3-6 months"/>
    <n v="52"/>
    <n v="6.74"/>
    <n v="0.05"/>
    <n v="0.82"/>
    <n v="3.98"/>
    <n v="0"/>
    <n v="25.11"/>
    <s v="Low"/>
  </r>
  <r>
    <s v="Team A"/>
    <s v="Agent_3"/>
    <s v="Wednesday"/>
    <x v="2"/>
    <s v="6+ months"/>
    <n v="32"/>
    <n v="5.12"/>
    <n v="0.1"/>
    <n v="0.85"/>
    <n v="3.68"/>
    <n v="0"/>
    <n v="22.68"/>
    <s v="Low"/>
  </r>
  <r>
    <s v="Team A"/>
    <s v="Agent_3"/>
    <s v="Thursday"/>
    <x v="0"/>
    <s v="6+ months"/>
    <n v="46"/>
    <n v="6.15"/>
    <n v="0.13"/>
    <n v="0.77"/>
    <n v="4.42"/>
    <n v="0"/>
    <n v="24.22"/>
    <s v="Low"/>
  </r>
  <r>
    <s v="Team A"/>
    <s v="Agent_3"/>
    <s v="Thursday"/>
    <x v="1"/>
    <s v="0-3 months"/>
    <n v="55"/>
    <n v="6.3"/>
    <n v="0.28000000000000003"/>
    <n v="0.83"/>
    <n v="4.1500000000000004"/>
    <n v="1"/>
    <n v="26.45"/>
    <s v="Low"/>
  </r>
  <r>
    <s v="Team A"/>
    <s v="Agent_3"/>
    <s v="Thursday"/>
    <x v="2"/>
    <s v="3-6 months"/>
    <n v="75"/>
    <n v="6.26"/>
    <n v="0.12"/>
    <n v="0.82"/>
    <n v="3.94"/>
    <n v="0"/>
    <n v="24.39"/>
    <s v="Low"/>
  </r>
  <r>
    <s v="Team A"/>
    <s v="Agent_3"/>
    <s v="Friday"/>
    <x v="0"/>
    <s v="0-3 months"/>
    <n v="52"/>
    <n v="4.8"/>
    <n v="0.09"/>
    <n v="0.9"/>
    <n v="4.59"/>
    <n v="2"/>
    <n v="26.2"/>
    <s v="Low"/>
  </r>
  <r>
    <s v="Team A"/>
    <s v="Agent_3"/>
    <s v="Friday"/>
    <x v="1"/>
    <s v="0-3 months"/>
    <n v="71"/>
    <n v="7.2"/>
    <n v="0.26"/>
    <n v="0.8"/>
    <n v="3.67"/>
    <n v="0"/>
    <n v="25.8"/>
    <s v="Low"/>
  </r>
  <r>
    <s v="Team A"/>
    <s v="Agent_3"/>
    <s v="Friday"/>
    <x v="2"/>
    <s v="6+ months"/>
    <n v="73"/>
    <n v="5.95"/>
    <n v="0.13"/>
    <n v="0.65"/>
    <n v="4.03"/>
    <n v="1"/>
    <n v="25.92"/>
    <s v="Low"/>
  </r>
  <r>
    <s v="Team A"/>
    <s v="Agent_4"/>
    <s v="Monday"/>
    <x v="0"/>
    <s v="0-3 months"/>
    <n v="45"/>
    <n v="6.52"/>
    <n v="0.28999999999999998"/>
    <n v="0.83"/>
    <n v="3.92"/>
    <n v="1"/>
    <n v="26.78"/>
    <s v="Low"/>
  </r>
  <r>
    <s v="Team A"/>
    <s v="Agent_4"/>
    <s v="Monday"/>
    <x v="1"/>
    <s v="0-3 months"/>
    <n v="57"/>
    <n v="5.14"/>
    <n v="0.1"/>
    <n v="0.76"/>
    <n v="4.0599999999999996"/>
    <n v="1"/>
    <n v="24.71"/>
    <s v="Low"/>
  </r>
  <r>
    <s v="Team A"/>
    <s v="Agent_4"/>
    <s v="Monday"/>
    <x v="2"/>
    <s v="0-3 months"/>
    <n v="30"/>
    <n v="6.84"/>
    <n v="0.16"/>
    <n v="0.66"/>
    <n v="3.62"/>
    <n v="0"/>
    <n v="25.26"/>
    <s v="Low"/>
  </r>
  <r>
    <s v="Team A"/>
    <s v="Agent_4"/>
    <s v="Tuesday"/>
    <x v="0"/>
    <s v="6+ months"/>
    <n v="30"/>
    <n v="8.1199999999999992"/>
    <n v="7.0000000000000007E-2"/>
    <n v="0.79"/>
    <n v="3.96"/>
    <n v="1"/>
    <n v="29.18"/>
    <s v="High"/>
  </r>
  <r>
    <s v="Team A"/>
    <s v="Agent_4"/>
    <s v="Tuesday"/>
    <x v="1"/>
    <s v="0-3 months"/>
    <n v="43"/>
    <n v="7.03"/>
    <n v="7.0000000000000007E-2"/>
    <n v="0.76"/>
    <n v="3.9"/>
    <n v="3"/>
    <n v="31.54"/>
    <s v="High"/>
  </r>
  <r>
    <s v="Team A"/>
    <s v="Agent_4"/>
    <s v="Tuesday"/>
    <x v="2"/>
    <s v="0-3 months"/>
    <n v="45"/>
    <n v="5.98"/>
    <n v="0.17"/>
    <n v="0.64"/>
    <n v="4.0599999999999996"/>
    <n v="0"/>
    <n v="23.97"/>
    <s v="Low"/>
  </r>
  <r>
    <s v="Team A"/>
    <s v="Agent_4"/>
    <s v="Wednesday"/>
    <x v="0"/>
    <s v="3-6 months"/>
    <n v="34"/>
    <n v="5.07"/>
    <n v="0.14000000000000001"/>
    <n v="0.79"/>
    <n v="3.52"/>
    <n v="2"/>
    <n v="26.6"/>
    <s v="Low"/>
  </r>
  <r>
    <s v="Team A"/>
    <s v="Agent_4"/>
    <s v="Wednesday"/>
    <x v="1"/>
    <s v="3-6 months"/>
    <n v="34"/>
    <n v="6.97"/>
    <n v="0.14000000000000001"/>
    <n v="0.89"/>
    <n v="4.63"/>
    <n v="1"/>
    <n v="27.46"/>
    <s v="Low"/>
  </r>
  <r>
    <s v="Team A"/>
    <s v="Agent_4"/>
    <s v="Wednesday"/>
    <x v="2"/>
    <s v="6+ months"/>
    <n v="41"/>
    <n v="7.54"/>
    <n v="7.0000000000000007E-2"/>
    <n v="0.76"/>
    <n v="4.0999999999999996"/>
    <n v="0"/>
    <n v="26.31"/>
    <s v="Low"/>
  </r>
  <r>
    <s v="Team A"/>
    <s v="Agent_4"/>
    <s v="Thursday"/>
    <x v="0"/>
    <s v="6+ months"/>
    <n v="32"/>
    <n v="6.5"/>
    <n v="0.05"/>
    <n v="0.79"/>
    <n v="3.78"/>
    <n v="0"/>
    <n v="24.75"/>
    <s v="Low"/>
  </r>
  <r>
    <s v="Team A"/>
    <s v="Agent_4"/>
    <s v="Thursday"/>
    <x v="1"/>
    <s v="0-3 months"/>
    <n v="79"/>
    <n v="7.06"/>
    <n v="0.22"/>
    <n v="0.76"/>
    <n v="3.91"/>
    <n v="2"/>
    <n v="29.59"/>
    <s v="High"/>
  </r>
  <r>
    <s v="Team A"/>
    <s v="Agent_4"/>
    <s v="Thursday"/>
    <x v="2"/>
    <s v="0-3 months"/>
    <n v="63"/>
    <n v="5.97"/>
    <n v="0.22"/>
    <n v="0.69"/>
    <n v="4.72"/>
    <n v="0"/>
    <n v="23.96"/>
    <s v="Low"/>
  </r>
  <r>
    <s v="Team A"/>
    <s v="Agent_4"/>
    <s v="Friday"/>
    <x v="0"/>
    <s v="3-6 months"/>
    <n v="65"/>
    <n v="4.28"/>
    <n v="0.04"/>
    <n v="0.86"/>
    <n v="4.55"/>
    <n v="3"/>
    <n v="27.42"/>
    <s v="Low"/>
  </r>
  <r>
    <s v="Team A"/>
    <s v="Agent_4"/>
    <s v="Friday"/>
    <x v="1"/>
    <s v="3-6 months"/>
    <n v="47"/>
    <n v="6.49"/>
    <n v="0.13"/>
    <n v="0.83"/>
    <n v="3.81"/>
    <n v="1"/>
    <n v="26.74"/>
    <s v="Low"/>
  </r>
  <r>
    <s v="Team A"/>
    <s v="Agent_4"/>
    <s v="Friday"/>
    <x v="2"/>
    <s v="6+ months"/>
    <n v="64"/>
    <n v="4.47"/>
    <n v="0.03"/>
    <n v="0.83"/>
    <n v="4.16"/>
    <n v="2"/>
    <n v="25.7"/>
    <s v="Low"/>
  </r>
  <r>
    <s v="Team A"/>
    <s v="Agent_5"/>
    <s v="Monday"/>
    <x v="0"/>
    <s v="3-6 months"/>
    <n v="48"/>
    <n v="6.32"/>
    <n v="0.14000000000000001"/>
    <n v="0.84"/>
    <n v="4.32"/>
    <n v="0"/>
    <n v="24.48"/>
    <s v="Low"/>
  </r>
  <r>
    <s v="Team A"/>
    <s v="Agent_5"/>
    <s v="Monday"/>
    <x v="1"/>
    <s v="0-3 months"/>
    <n v="54"/>
    <n v="5.87"/>
    <n v="0.19"/>
    <n v="0.78"/>
    <n v="4.7300000000000004"/>
    <n v="1"/>
    <n v="25.8"/>
    <s v="Low"/>
  </r>
  <r>
    <s v="Team A"/>
    <s v="Agent_5"/>
    <s v="Monday"/>
    <x v="2"/>
    <s v="0-3 months"/>
    <n v="71"/>
    <n v="7.81"/>
    <n v="0.28999999999999998"/>
    <n v="0.77"/>
    <n v="4.59"/>
    <n v="2"/>
    <n v="30.72"/>
    <s v="High"/>
  </r>
  <r>
    <s v="Team A"/>
    <s v="Agent_5"/>
    <s v="Tuesday"/>
    <x v="0"/>
    <s v="6+ months"/>
    <n v="75"/>
    <n v="6.4"/>
    <n v="0.11"/>
    <n v="0.76"/>
    <n v="4.57"/>
    <n v="1"/>
    <n v="26.6"/>
    <s v="Low"/>
  </r>
  <r>
    <s v="Team A"/>
    <s v="Agent_5"/>
    <s v="Tuesday"/>
    <x v="1"/>
    <s v="0-3 months"/>
    <n v="66"/>
    <n v="6.45"/>
    <n v="0.27"/>
    <n v="0.88"/>
    <n v="3.81"/>
    <n v="2"/>
    <n v="28.68"/>
    <s v="High"/>
  </r>
  <r>
    <s v="Team A"/>
    <s v="Agent_5"/>
    <s v="Tuesday"/>
    <x v="2"/>
    <s v="3-6 months"/>
    <n v="65"/>
    <n v="4.54"/>
    <n v="7.0000000000000007E-2"/>
    <n v="0.62"/>
    <n v="4.51"/>
    <n v="0"/>
    <n v="21.81"/>
    <s v="Low"/>
  </r>
  <r>
    <s v="Team A"/>
    <s v="Agent_5"/>
    <s v="Wednesday"/>
    <x v="0"/>
    <s v="3-6 months"/>
    <n v="55"/>
    <n v="5.28"/>
    <n v="0.05"/>
    <n v="0.81"/>
    <n v="4.24"/>
    <n v="1"/>
    <n v="24.92"/>
    <s v="Low"/>
  </r>
  <r>
    <s v="Team A"/>
    <s v="Agent_5"/>
    <s v="Wednesday"/>
    <x v="1"/>
    <s v="6+ months"/>
    <n v="70"/>
    <n v="4.12"/>
    <n v="0.12"/>
    <n v="0.85"/>
    <n v="3.81"/>
    <n v="0"/>
    <n v="21.18"/>
    <s v="Low"/>
  </r>
  <r>
    <s v="Team A"/>
    <s v="Agent_5"/>
    <s v="Wednesday"/>
    <x v="2"/>
    <s v="3-6 months"/>
    <n v="54"/>
    <n v="5.66"/>
    <n v="0.15"/>
    <n v="0.6"/>
    <n v="4.76"/>
    <n v="0"/>
    <n v="23.49"/>
    <s v="Low"/>
  </r>
  <r>
    <s v="Team A"/>
    <s v="Agent_5"/>
    <s v="Thursday"/>
    <x v="0"/>
    <s v="6+ months"/>
    <n v="50"/>
    <n v="6.46"/>
    <n v="0.15"/>
    <n v="0.76"/>
    <n v="4.22"/>
    <n v="3"/>
    <n v="30.69"/>
    <s v="High"/>
  </r>
  <r>
    <s v="Team A"/>
    <s v="Agent_5"/>
    <s v="Thursday"/>
    <x v="1"/>
    <s v="3-6 months"/>
    <n v="70"/>
    <n v="5.3"/>
    <n v="0.15"/>
    <n v="0.85"/>
    <n v="4"/>
    <n v="1"/>
    <n v="24.95"/>
    <s v="Low"/>
  </r>
  <r>
    <s v="Team A"/>
    <s v="Agent_5"/>
    <s v="Thursday"/>
    <x v="2"/>
    <s v="6+ months"/>
    <n v="39"/>
    <n v="5.03"/>
    <n v="0.14000000000000001"/>
    <n v="0.82"/>
    <n v="4.09"/>
    <n v="1"/>
    <n v="24.54"/>
    <s v="Low"/>
  </r>
  <r>
    <s v="Team A"/>
    <s v="Agent_5"/>
    <s v="Friday"/>
    <x v="0"/>
    <s v="0-3 months"/>
    <n v="57"/>
    <n v="4.79"/>
    <n v="0.11"/>
    <n v="0.79"/>
    <n v="3.97"/>
    <n v="0"/>
    <n v="22.18"/>
    <s v="Low"/>
  </r>
  <r>
    <s v="Team A"/>
    <s v="Agent_5"/>
    <s v="Friday"/>
    <x v="1"/>
    <s v="3-6 months"/>
    <n v="46"/>
    <n v="7.59"/>
    <n v="0.06"/>
    <n v="0.81"/>
    <n v="4.28"/>
    <n v="0"/>
    <n v="26.38"/>
    <s v="Low"/>
  </r>
  <r>
    <s v="Team A"/>
    <s v="Agent_5"/>
    <s v="Friday"/>
    <x v="2"/>
    <s v="0-3 months"/>
    <n v="64"/>
    <n v="6.74"/>
    <n v="0.15"/>
    <n v="0.83"/>
    <n v="4.63"/>
    <n v="0"/>
    <n v="25.11"/>
    <s v="Low"/>
  </r>
  <r>
    <s v="Team A"/>
    <s v="Agent_6"/>
    <s v="Monday"/>
    <x v="0"/>
    <s v="0-3 months"/>
    <n v="62"/>
    <n v="7.48"/>
    <n v="0.24"/>
    <n v="0.82"/>
    <n v="4.78"/>
    <n v="0"/>
    <n v="26.22"/>
    <s v="Low"/>
  </r>
  <r>
    <s v="Team A"/>
    <s v="Agent_6"/>
    <s v="Monday"/>
    <x v="1"/>
    <s v="6+ months"/>
    <n v="54"/>
    <n v="5.89"/>
    <n v="7.0000000000000007E-2"/>
    <n v="0.79"/>
    <n v="3.57"/>
    <n v="2"/>
    <n v="27.84"/>
    <s v="High"/>
  </r>
  <r>
    <s v="Team A"/>
    <s v="Agent_6"/>
    <s v="Monday"/>
    <x v="2"/>
    <s v="6+ months"/>
    <n v="60"/>
    <n v="7.24"/>
    <n v="0.12"/>
    <n v="0.83"/>
    <n v="4.26"/>
    <n v="1"/>
    <n v="27.86"/>
    <s v="High"/>
  </r>
  <r>
    <s v="Team A"/>
    <s v="Agent_6"/>
    <s v="Tuesday"/>
    <x v="0"/>
    <s v="6+ months"/>
    <n v="48"/>
    <n v="5.69"/>
    <n v="0.04"/>
    <n v="0.89"/>
    <n v="4.29"/>
    <n v="0"/>
    <n v="23.54"/>
    <s v="Low"/>
  </r>
  <r>
    <s v="Team A"/>
    <s v="Agent_6"/>
    <s v="Tuesday"/>
    <x v="1"/>
    <s v="3-6 months"/>
    <n v="61"/>
    <n v="4.4000000000000004"/>
    <n v="0.03"/>
    <n v="0.79"/>
    <n v="3.53"/>
    <n v="0"/>
    <n v="21.6"/>
    <s v="Low"/>
  </r>
  <r>
    <s v="Team A"/>
    <s v="Agent_6"/>
    <s v="Tuesday"/>
    <x v="2"/>
    <s v="3-6 months"/>
    <n v="32"/>
    <n v="7.18"/>
    <n v="0.09"/>
    <n v="0.74"/>
    <n v="4.6399999999999997"/>
    <n v="0"/>
    <n v="25.77"/>
    <s v="Low"/>
  </r>
  <r>
    <s v="Team A"/>
    <s v="Agent_6"/>
    <s v="Wednesday"/>
    <x v="0"/>
    <s v="0-3 months"/>
    <n v="76"/>
    <n v="6.07"/>
    <n v="0.16"/>
    <n v="0.87"/>
    <n v="4.33"/>
    <n v="2"/>
    <n v="28.1"/>
    <s v="High"/>
  </r>
  <r>
    <s v="Team A"/>
    <s v="Agent_6"/>
    <s v="Wednesday"/>
    <x v="1"/>
    <s v="6+ months"/>
    <n v="63"/>
    <n v="7.06"/>
    <n v="7.0000000000000007E-2"/>
    <n v="0.82"/>
    <n v="4.68"/>
    <n v="0"/>
    <n v="25.59"/>
    <s v="Low"/>
  </r>
  <r>
    <s v="Team A"/>
    <s v="Agent_6"/>
    <s v="Wednesday"/>
    <x v="2"/>
    <s v="3-6 months"/>
    <n v="53"/>
    <n v="4.24"/>
    <n v="0.14000000000000001"/>
    <n v="0.67"/>
    <n v="4.18"/>
    <n v="1"/>
    <n v="23.36"/>
    <s v="Low"/>
  </r>
  <r>
    <s v="Team A"/>
    <s v="Agent_6"/>
    <s v="Thursday"/>
    <x v="0"/>
    <s v="6+ months"/>
    <n v="39"/>
    <n v="5.99"/>
    <n v="0.05"/>
    <n v="0.82"/>
    <n v="4.7699999999999996"/>
    <n v="0"/>
    <n v="23.98"/>
    <s v="Low"/>
  </r>
  <r>
    <s v="Team A"/>
    <s v="Agent_6"/>
    <s v="Thursday"/>
    <x v="1"/>
    <s v="3-6 months"/>
    <n v="72"/>
    <n v="6.8"/>
    <n v="0.1"/>
    <n v="0.8"/>
    <n v="4.2"/>
    <n v="0"/>
    <n v="25.2"/>
    <s v="Low"/>
  </r>
  <r>
    <s v="Team A"/>
    <s v="Agent_6"/>
    <s v="Thursday"/>
    <x v="2"/>
    <s v="3-6 months"/>
    <n v="40"/>
    <n v="6.37"/>
    <n v="0.04"/>
    <n v="0.69"/>
    <n v="4.67"/>
    <n v="0"/>
    <n v="24.56"/>
    <s v="Low"/>
  </r>
  <r>
    <s v="Team A"/>
    <s v="Agent_6"/>
    <s v="Friday"/>
    <x v="0"/>
    <s v="3-6 months"/>
    <n v="79"/>
    <n v="5.0599999999999996"/>
    <n v="0.1"/>
    <n v="0.78"/>
    <n v="4.57"/>
    <n v="0"/>
    <n v="22.59"/>
    <s v="Low"/>
  </r>
  <r>
    <s v="Team A"/>
    <s v="Agent_6"/>
    <s v="Friday"/>
    <x v="1"/>
    <s v="3-6 months"/>
    <n v="51"/>
    <n v="4.57"/>
    <n v="7.0000000000000007E-2"/>
    <n v="0.83"/>
    <n v="4.4000000000000004"/>
    <n v="0"/>
    <n v="21.86"/>
    <s v="Low"/>
  </r>
  <r>
    <s v="Team A"/>
    <s v="Agent_6"/>
    <s v="Friday"/>
    <x v="2"/>
    <s v="6+ months"/>
    <n v="51"/>
    <n v="5.81"/>
    <n v="0.03"/>
    <n v="0.82"/>
    <n v="4.7"/>
    <n v="0"/>
    <n v="23.72"/>
    <s v="Low"/>
  </r>
  <r>
    <s v="Team A"/>
    <s v="Agent_7"/>
    <s v="Monday"/>
    <x v="0"/>
    <s v="0-3 months"/>
    <n v="30"/>
    <n v="6.18"/>
    <n v="0.3"/>
    <n v="0.83"/>
    <n v="4.7"/>
    <n v="0"/>
    <n v="24.27"/>
    <s v="Low"/>
  </r>
  <r>
    <s v="Team A"/>
    <s v="Agent_7"/>
    <s v="Monday"/>
    <x v="1"/>
    <s v="6+ months"/>
    <n v="43"/>
    <n v="5.22"/>
    <n v="0.08"/>
    <n v="0.86"/>
    <n v="3.55"/>
    <n v="0"/>
    <n v="22.83"/>
    <s v="Low"/>
  </r>
  <r>
    <s v="Team A"/>
    <s v="Agent_7"/>
    <s v="Monday"/>
    <x v="2"/>
    <s v="6+ months"/>
    <n v="76"/>
    <n v="6.47"/>
    <n v="0.02"/>
    <n v="0.82"/>
    <n v="3.96"/>
    <n v="0"/>
    <n v="24.7"/>
    <s v="Low"/>
  </r>
  <r>
    <s v="Team A"/>
    <s v="Agent_7"/>
    <s v="Tuesday"/>
    <x v="0"/>
    <s v="0-3 months"/>
    <n v="66"/>
    <n v="6.65"/>
    <n v="0.1"/>
    <n v="0.83"/>
    <n v="4.59"/>
    <n v="0"/>
    <n v="24.98"/>
    <s v="Low"/>
  </r>
  <r>
    <s v="Team A"/>
    <s v="Agent_7"/>
    <s v="Tuesday"/>
    <x v="1"/>
    <s v="3-6 months"/>
    <n v="54"/>
    <n v="6.22"/>
    <n v="0.11"/>
    <n v="0.87"/>
    <n v="4.1500000000000004"/>
    <n v="0"/>
    <n v="24.33"/>
    <s v="Low"/>
  </r>
  <r>
    <s v="Team A"/>
    <s v="Agent_7"/>
    <s v="Tuesday"/>
    <x v="2"/>
    <s v="3-6 months"/>
    <n v="63"/>
    <n v="6.91"/>
    <n v="0.09"/>
    <n v="0.75"/>
    <n v="4.2300000000000004"/>
    <n v="0"/>
    <n v="25.36"/>
    <s v="Low"/>
  </r>
  <r>
    <s v="Team A"/>
    <s v="Agent_7"/>
    <s v="Wednesday"/>
    <x v="0"/>
    <s v="3-6 months"/>
    <n v="55"/>
    <n v="4.58"/>
    <n v="0.08"/>
    <n v="0.8"/>
    <n v="4.71"/>
    <n v="0"/>
    <n v="21.87"/>
    <s v="Low"/>
  </r>
  <r>
    <s v="Team A"/>
    <s v="Agent_7"/>
    <s v="Wednesday"/>
    <x v="1"/>
    <s v="0-3 months"/>
    <n v="35"/>
    <n v="6.6"/>
    <n v="0.11"/>
    <n v="0.77"/>
    <n v="3.74"/>
    <n v="0"/>
    <n v="24.9"/>
    <s v="Low"/>
  </r>
  <r>
    <s v="Team A"/>
    <s v="Agent_7"/>
    <s v="Wednesday"/>
    <x v="2"/>
    <s v="0-3 months"/>
    <n v="38"/>
    <n v="6.05"/>
    <n v="0.15"/>
    <n v="0.85"/>
    <n v="3.65"/>
    <n v="0"/>
    <n v="24.08"/>
    <s v="Low"/>
  </r>
  <r>
    <s v="Team A"/>
    <s v="Agent_7"/>
    <s v="Thursday"/>
    <x v="0"/>
    <s v="6+ months"/>
    <n v="33"/>
    <n v="5.17"/>
    <n v="0.02"/>
    <n v="0.9"/>
    <n v="4.1399999999999997"/>
    <n v="1"/>
    <n v="24.76"/>
    <s v="Low"/>
  </r>
  <r>
    <s v="Team A"/>
    <s v="Agent_7"/>
    <s v="Thursday"/>
    <x v="1"/>
    <s v="6+ months"/>
    <n v="31"/>
    <n v="8.0399999999999991"/>
    <n v="0.06"/>
    <n v="0.87"/>
    <n v="3.74"/>
    <n v="0"/>
    <n v="27.06"/>
    <s v="Low"/>
  </r>
  <r>
    <s v="Team A"/>
    <s v="Agent_7"/>
    <s v="Thursday"/>
    <x v="2"/>
    <s v="3-6 months"/>
    <n v="62"/>
    <n v="7.62"/>
    <n v="0.12"/>
    <n v="0.73"/>
    <n v="4.42"/>
    <n v="1"/>
    <n v="28.43"/>
    <s v="High"/>
  </r>
  <r>
    <s v="Team A"/>
    <s v="Agent_7"/>
    <s v="Friday"/>
    <x v="0"/>
    <s v="0-3 months"/>
    <n v="40"/>
    <n v="5.8"/>
    <n v="0.2"/>
    <n v="0.81"/>
    <n v="4.09"/>
    <n v="0"/>
    <n v="23.7"/>
    <s v="Low"/>
  </r>
  <r>
    <s v="Team A"/>
    <s v="Agent_7"/>
    <s v="Friday"/>
    <x v="1"/>
    <s v="3-6 months"/>
    <n v="31"/>
    <n v="6.48"/>
    <n v="0.06"/>
    <n v="0.87"/>
    <n v="3.83"/>
    <n v="1"/>
    <n v="26.72"/>
    <s v="Low"/>
  </r>
  <r>
    <s v="Team A"/>
    <s v="Agent_7"/>
    <s v="Friday"/>
    <x v="2"/>
    <s v="6+ months"/>
    <n v="40"/>
    <n v="8.39"/>
    <n v="0.12"/>
    <n v="0.63"/>
    <n v="4.6100000000000003"/>
    <n v="1"/>
    <n v="29.58"/>
    <s v="High"/>
  </r>
  <r>
    <s v="Team A"/>
    <s v="Agent_8"/>
    <s v="Monday"/>
    <x v="0"/>
    <s v="3-6 months"/>
    <n v="40"/>
    <n v="5.4"/>
    <n v="0.14000000000000001"/>
    <n v="0.78"/>
    <n v="3.59"/>
    <n v="1"/>
    <n v="25.1"/>
    <s v="Low"/>
  </r>
  <r>
    <s v="Team A"/>
    <s v="Agent_8"/>
    <s v="Monday"/>
    <x v="1"/>
    <s v="3-6 months"/>
    <n v="58"/>
    <n v="6.34"/>
    <n v="0.05"/>
    <n v="0.77"/>
    <n v="3.71"/>
    <n v="2"/>
    <n v="28.51"/>
    <s v="High"/>
  </r>
  <r>
    <s v="Team A"/>
    <s v="Agent_8"/>
    <s v="Monday"/>
    <x v="2"/>
    <s v="3-6 months"/>
    <n v="55"/>
    <n v="5.59"/>
    <n v="0.14000000000000001"/>
    <n v="0.68"/>
    <n v="4.26"/>
    <n v="1"/>
    <n v="25.38"/>
    <s v="Low"/>
  </r>
  <r>
    <s v="Team A"/>
    <s v="Agent_8"/>
    <s v="Tuesday"/>
    <x v="0"/>
    <s v="3-6 months"/>
    <n v="69"/>
    <n v="5.32"/>
    <n v="0.06"/>
    <n v="0.86"/>
    <n v="4.1500000000000004"/>
    <n v="0"/>
    <n v="22.98"/>
    <s v="Low"/>
  </r>
  <r>
    <s v="Team A"/>
    <s v="Agent_8"/>
    <s v="Tuesday"/>
    <x v="1"/>
    <s v="6+ months"/>
    <n v="31"/>
    <n v="3.77"/>
    <n v="0.09"/>
    <n v="0.89"/>
    <n v="4.3099999999999996"/>
    <n v="0"/>
    <n v="20.66"/>
    <s v="Low"/>
  </r>
  <r>
    <s v="Team A"/>
    <s v="Agent_8"/>
    <s v="Tuesday"/>
    <x v="2"/>
    <s v="6+ months"/>
    <n v="36"/>
    <n v="6.92"/>
    <n v="0.04"/>
    <n v="0.82"/>
    <n v="4.1399999999999997"/>
    <n v="1"/>
    <n v="27.38"/>
    <s v="Low"/>
  </r>
  <r>
    <s v="Team A"/>
    <s v="Agent_8"/>
    <s v="Wednesday"/>
    <x v="0"/>
    <s v="3-6 months"/>
    <n v="58"/>
    <n v="7.09"/>
    <n v="0.04"/>
    <n v="0.8"/>
    <n v="3.82"/>
    <n v="1"/>
    <n v="27.64"/>
    <s v="Low"/>
  </r>
  <r>
    <s v="Team A"/>
    <s v="Agent_8"/>
    <s v="Wednesday"/>
    <x v="1"/>
    <s v="0-3 months"/>
    <n v="51"/>
    <n v="5.95"/>
    <n v="0.24"/>
    <n v="0.77"/>
    <n v="4.2"/>
    <n v="0"/>
    <n v="23.92"/>
    <s v="Low"/>
  </r>
  <r>
    <s v="Team A"/>
    <s v="Agent_8"/>
    <s v="Wednesday"/>
    <x v="2"/>
    <s v="3-6 months"/>
    <n v="44"/>
    <n v="7.84"/>
    <n v="0.12"/>
    <n v="0.64"/>
    <n v="3.8"/>
    <n v="1"/>
    <n v="28.76"/>
    <s v="High"/>
  </r>
  <r>
    <s v="Team A"/>
    <s v="Agent_8"/>
    <s v="Thursday"/>
    <x v="0"/>
    <s v="6+ months"/>
    <n v="60"/>
    <n v="7.33"/>
    <n v="0.11"/>
    <n v="0.84"/>
    <n v="4.57"/>
    <n v="3"/>
    <n v="32"/>
    <s v="High"/>
  </r>
  <r>
    <s v="Team A"/>
    <s v="Agent_8"/>
    <s v="Thursday"/>
    <x v="1"/>
    <s v="3-6 months"/>
    <n v="35"/>
    <n v="8"/>
    <n v="7.0000000000000007E-2"/>
    <n v="0.82"/>
    <n v="4.7300000000000004"/>
    <n v="0"/>
    <n v="27"/>
    <s v="Low"/>
  </r>
  <r>
    <s v="Team A"/>
    <s v="Agent_8"/>
    <s v="Thursday"/>
    <x v="2"/>
    <s v="3-6 months"/>
    <n v="47"/>
    <n v="5.8"/>
    <n v="0.13"/>
    <n v="0.83"/>
    <n v="4.2300000000000004"/>
    <n v="1"/>
    <n v="25.7"/>
    <s v="Low"/>
  </r>
  <r>
    <s v="Team A"/>
    <s v="Agent_8"/>
    <s v="Friday"/>
    <x v="0"/>
    <s v="6+ months"/>
    <n v="37"/>
    <n v="6.05"/>
    <n v="0.1"/>
    <n v="0.87"/>
    <n v="3.99"/>
    <n v="0"/>
    <n v="24.08"/>
    <s v="Low"/>
  </r>
  <r>
    <s v="Team A"/>
    <s v="Agent_8"/>
    <s v="Friday"/>
    <x v="1"/>
    <s v="0-3 months"/>
    <n v="43"/>
    <n v="5.01"/>
    <n v="0.3"/>
    <n v="0.88"/>
    <n v="3.66"/>
    <n v="2"/>
    <n v="26.52"/>
    <s v="Low"/>
  </r>
  <r>
    <s v="Team A"/>
    <s v="Agent_8"/>
    <s v="Friday"/>
    <x v="2"/>
    <s v="6+ months"/>
    <n v="69"/>
    <n v="5.87"/>
    <n v="0.1"/>
    <n v="0.69"/>
    <n v="4.47"/>
    <n v="0"/>
    <n v="23.8"/>
    <s v="Low"/>
  </r>
  <r>
    <s v="Team A"/>
    <s v="Agent_9"/>
    <s v="Monday"/>
    <x v="0"/>
    <s v="6+ months"/>
    <n v="55"/>
    <n v="4.99"/>
    <n v="0.09"/>
    <n v="0.89"/>
    <n v="3.95"/>
    <n v="0"/>
    <n v="22.48"/>
    <s v="Low"/>
  </r>
  <r>
    <s v="Team A"/>
    <s v="Agent_9"/>
    <s v="Monday"/>
    <x v="1"/>
    <s v="6+ months"/>
    <n v="46"/>
    <n v="4.3499999999999996"/>
    <n v="0.1"/>
    <n v="0.75"/>
    <n v="4.6900000000000004"/>
    <n v="0"/>
    <n v="21.52"/>
    <s v="Low"/>
  </r>
  <r>
    <s v="Team A"/>
    <s v="Agent_9"/>
    <s v="Monday"/>
    <x v="2"/>
    <s v="3-6 months"/>
    <n v="35"/>
    <n v="5.28"/>
    <n v="0.05"/>
    <n v="0.65"/>
    <n v="4.17"/>
    <n v="3"/>
    <n v="28.92"/>
    <s v="High"/>
  </r>
  <r>
    <s v="Team A"/>
    <s v="Agent_9"/>
    <s v="Tuesday"/>
    <x v="0"/>
    <s v="3-6 months"/>
    <n v="49"/>
    <n v="6.91"/>
    <n v="7.0000000000000007E-2"/>
    <n v="0.76"/>
    <n v="4.8"/>
    <n v="0"/>
    <n v="25.36"/>
    <s v="Low"/>
  </r>
  <r>
    <s v="Team A"/>
    <s v="Agent_9"/>
    <s v="Tuesday"/>
    <x v="1"/>
    <s v="3-6 months"/>
    <n v="42"/>
    <n v="4.6399999999999997"/>
    <n v="0.12"/>
    <n v="0.8"/>
    <n v="4.1100000000000003"/>
    <n v="1"/>
    <n v="23.96"/>
    <s v="Low"/>
  </r>
  <r>
    <s v="Team A"/>
    <s v="Agent_9"/>
    <s v="Tuesday"/>
    <x v="2"/>
    <s v="3-6 months"/>
    <n v="45"/>
    <n v="4.09"/>
    <n v="0.09"/>
    <n v="0.62"/>
    <n v="4.51"/>
    <n v="0"/>
    <n v="21.14"/>
    <s v="Low"/>
  </r>
  <r>
    <s v="Team A"/>
    <s v="Agent_9"/>
    <s v="Wednesday"/>
    <x v="0"/>
    <s v="3-6 months"/>
    <n v="57"/>
    <n v="5.44"/>
    <n v="0.12"/>
    <n v="0.77"/>
    <n v="3.93"/>
    <n v="0"/>
    <n v="23.16"/>
    <s v="Low"/>
  </r>
  <r>
    <s v="Team A"/>
    <s v="Agent_9"/>
    <s v="Wednesday"/>
    <x v="1"/>
    <s v="6+ months"/>
    <n v="39"/>
    <n v="2.4300000000000002"/>
    <n v="0.06"/>
    <n v="0.85"/>
    <n v="4.03"/>
    <n v="0"/>
    <n v="18.64"/>
    <s v="Low"/>
  </r>
  <r>
    <s v="Team A"/>
    <s v="Agent_9"/>
    <s v="Wednesday"/>
    <x v="2"/>
    <s v="0-3 months"/>
    <n v="79"/>
    <n v="5.74"/>
    <n v="0.19"/>
    <n v="0.66"/>
    <n v="3.75"/>
    <n v="0"/>
    <n v="23.61"/>
    <s v="Low"/>
  </r>
  <r>
    <s v="Team A"/>
    <s v="Agent_9"/>
    <s v="Thursday"/>
    <x v="0"/>
    <s v="3-6 months"/>
    <n v="76"/>
    <n v="7.02"/>
    <n v="0.09"/>
    <n v="0.88"/>
    <n v="4.22"/>
    <n v="1"/>
    <n v="27.53"/>
    <s v="Low"/>
  </r>
  <r>
    <s v="Team A"/>
    <s v="Agent_9"/>
    <s v="Thursday"/>
    <x v="1"/>
    <s v="6+ months"/>
    <n v="53"/>
    <n v="6.71"/>
    <n v="0.13"/>
    <n v="0.81"/>
    <n v="4.37"/>
    <n v="0"/>
    <n v="25.06"/>
    <s v="Low"/>
  </r>
  <r>
    <s v="Team A"/>
    <s v="Agent_9"/>
    <s v="Thursday"/>
    <x v="2"/>
    <s v="0-3 months"/>
    <n v="77"/>
    <n v="6.44"/>
    <n v="7.0000000000000007E-2"/>
    <n v="0.76"/>
    <n v="4.46"/>
    <n v="2"/>
    <n v="28.66"/>
    <s v="High"/>
  </r>
  <r>
    <s v="Team A"/>
    <s v="Agent_9"/>
    <s v="Friday"/>
    <x v="0"/>
    <s v="0-3 months"/>
    <n v="48"/>
    <n v="4.33"/>
    <n v="0.27"/>
    <n v="0.87"/>
    <n v="3.94"/>
    <n v="0"/>
    <n v="21.5"/>
    <s v="Low"/>
  </r>
  <r>
    <s v="Team A"/>
    <s v="Agent_9"/>
    <s v="Friday"/>
    <x v="1"/>
    <s v="3-6 months"/>
    <n v="52"/>
    <n v="7.76"/>
    <n v="0.02"/>
    <n v="0.87"/>
    <n v="3.95"/>
    <n v="1"/>
    <n v="28.64"/>
    <s v="High"/>
  </r>
  <r>
    <s v="Team A"/>
    <s v="Agent_9"/>
    <s v="Friday"/>
    <x v="2"/>
    <s v="3-6 months"/>
    <n v="73"/>
    <n v="5.64"/>
    <n v="0.09"/>
    <n v="0.85"/>
    <n v="4.1100000000000003"/>
    <n v="0"/>
    <n v="23.46"/>
    <s v="Low"/>
  </r>
  <r>
    <s v="Team A"/>
    <s v="Agent_10"/>
    <s v="Monday"/>
    <x v="0"/>
    <s v="3-6 months"/>
    <n v="46"/>
    <n v="6.26"/>
    <n v="0.05"/>
    <n v="0.83"/>
    <n v="4.32"/>
    <n v="0"/>
    <n v="24.39"/>
    <s v="Low"/>
  </r>
  <r>
    <s v="Team A"/>
    <s v="Agent_10"/>
    <s v="Monday"/>
    <x v="1"/>
    <s v="0-3 months"/>
    <n v="72"/>
    <n v="4.96"/>
    <n v="0.28000000000000003"/>
    <n v="0.85"/>
    <n v="4.3899999999999997"/>
    <n v="2"/>
    <n v="26.44"/>
    <s v="Low"/>
  </r>
  <r>
    <s v="Team A"/>
    <s v="Agent_10"/>
    <s v="Monday"/>
    <x v="2"/>
    <s v="3-6 months"/>
    <n v="71"/>
    <n v="5.78"/>
    <n v="0.09"/>
    <n v="0.67"/>
    <n v="4.22"/>
    <n v="1"/>
    <n v="25.67"/>
    <s v="Low"/>
  </r>
  <r>
    <s v="Team A"/>
    <s v="Agent_10"/>
    <s v="Tuesday"/>
    <x v="0"/>
    <s v="6+ months"/>
    <n v="52"/>
    <n v="5.0999999999999996"/>
    <n v="0.12"/>
    <n v="0.79"/>
    <n v="4.32"/>
    <n v="0"/>
    <n v="22.65"/>
    <s v="Low"/>
  </r>
  <r>
    <s v="Team A"/>
    <s v="Agent_10"/>
    <s v="Tuesday"/>
    <x v="1"/>
    <s v="3-6 months"/>
    <n v="46"/>
    <n v="5.09"/>
    <n v="7.0000000000000007E-2"/>
    <n v="0.81"/>
    <n v="4.17"/>
    <n v="0"/>
    <n v="22.64"/>
    <s v="Low"/>
  </r>
  <r>
    <s v="Team A"/>
    <s v="Agent_10"/>
    <s v="Tuesday"/>
    <x v="2"/>
    <s v="0-3 months"/>
    <n v="72"/>
    <n v="5.77"/>
    <n v="0.28000000000000003"/>
    <n v="0.78"/>
    <n v="4.29"/>
    <n v="2"/>
    <n v="27.66"/>
    <s v="Low"/>
  </r>
  <r>
    <s v="Team A"/>
    <s v="Agent_10"/>
    <s v="Wednesday"/>
    <x v="0"/>
    <s v="3-6 months"/>
    <n v="53"/>
    <n v="7.21"/>
    <n v="0.14000000000000001"/>
    <n v="0.86"/>
    <n v="3.78"/>
    <n v="0"/>
    <n v="25.82"/>
    <s v="Low"/>
  </r>
  <r>
    <s v="Team A"/>
    <s v="Agent_10"/>
    <s v="Wednesday"/>
    <x v="1"/>
    <s v="0-3 months"/>
    <n v="64"/>
    <n v="6.24"/>
    <n v="0.28999999999999998"/>
    <n v="0.77"/>
    <n v="4.3099999999999996"/>
    <n v="0"/>
    <n v="24.36"/>
    <s v="Low"/>
  </r>
  <r>
    <s v="Team A"/>
    <s v="Agent_10"/>
    <s v="Wednesday"/>
    <x v="2"/>
    <s v="3-6 months"/>
    <n v="69"/>
    <n v="6.23"/>
    <n v="0.11"/>
    <n v="0.72"/>
    <n v="4.3899999999999997"/>
    <n v="0"/>
    <n v="24.34"/>
    <s v="Low"/>
  </r>
  <r>
    <s v="Team A"/>
    <s v="Agent_10"/>
    <s v="Thursday"/>
    <x v="0"/>
    <s v="0-3 months"/>
    <n v="32"/>
    <n v="5.69"/>
    <n v="0.25"/>
    <n v="0.89"/>
    <n v="4.53"/>
    <n v="1"/>
    <n v="25.54"/>
    <s v="Low"/>
  </r>
  <r>
    <s v="Team A"/>
    <s v="Agent_10"/>
    <s v="Thursday"/>
    <x v="1"/>
    <s v="3-6 months"/>
    <n v="41"/>
    <n v="5.34"/>
    <n v="0.09"/>
    <n v="0.88"/>
    <n v="4.45"/>
    <n v="2"/>
    <n v="27.01"/>
    <s v="Low"/>
  </r>
  <r>
    <s v="Team A"/>
    <s v="Agent_10"/>
    <s v="Thursday"/>
    <x v="2"/>
    <s v="3-6 months"/>
    <n v="45"/>
    <n v="5.55"/>
    <n v="0.08"/>
    <n v="0.66"/>
    <n v="4.78"/>
    <n v="2"/>
    <n v="27.32"/>
    <s v="Low"/>
  </r>
  <r>
    <s v="Team A"/>
    <s v="Agent_10"/>
    <s v="Friday"/>
    <x v="0"/>
    <s v="0-3 months"/>
    <n v="39"/>
    <n v="6.63"/>
    <n v="0.2"/>
    <n v="0.9"/>
    <n v="4.22"/>
    <n v="0"/>
    <n v="24.94"/>
    <s v="Low"/>
  </r>
  <r>
    <s v="Team A"/>
    <s v="Agent_10"/>
    <s v="Friday"/>
    <x v="1"/>
    <s v="3-6 months"/>
    <n v="44"/>
    <n v="4.92"/>
    <n v="0.14000000000000001"/>
    <n v="0.9"/>
    <n v="4.7300000000000004"/>
    <n v="0"/>
    <n v="22.38"/>
    <s v="Low"/>
  </r>
  <r>
    <s v="Team A"/>
    <s v="Agent_10"/>
    <s v="Friday"/>
    <x v="2"/>
    <s v="6+ months"/>
    <n v="68"/>
    <n v="7.05"/>
    <n v="0.08"/>
    <n v="0.73"/>
    <n v="4.34"/>
    <n v="1"/>
    <n v="27.58"/>
    <s v="Low"/>
  </r>
  <r>
    <s v="Team B"/>
    <s v="Agent_1"/>
    <s v="Monday"/>
    <x v="0"/>
    <s v="3-6 months"/>
    <n v="73"/>
    <n v="6.46"/>
    <n v="0.11"/>
    <n v="0.76"/>
    <n v="3.91"/>
    <n v="0"/>
    <n v="24.69"/>
    <s v="Low"/>
  </r>
  <r>
    <s v="Team B"/>
    <s v="Agent_1"/>
    <s v="Monday"/>
    <x v="1"/>
    <s v="6+ months"/>
    <n v="54"/>
    <n v="8.7799999999999994"/>
    <n v="0.12"/>
    <n v="0.83"/>
    <n v="4.05"/>
    <n v="2"/>
    <n v="32.17"/>
    <s v="High"/>
  </r>
  <r>
    <s v="Team B"/>
    <s v="Agent_1"/>
    <s v="Monday"/>
    <x v="2"/>
    <s v="3-6 months"/>
    <n v="64"/>
    <n v="7.58"/>
    <n v="0.14000000000000001"/>
    <n v="0.8"/>
    <n v="4.8"/>
    <n v="0"/>
    <n v="26.37"/>
    <s v="Low"/>
  </r>
  <r>
    <s v="Team B"/>
    <s v="Agent_1"/>
    <s v="Tuesday"/>
    <x v="0"/>
    <s v="6+ months"/>
    <n v="58"/>
    <n v="8.57"/>
    <n v="0.02"/>
    <n v="0.82"/>
    <n v="4.25"/>
    <n v="0"/>
    <n v="27.86"/>
    <s v="High"/>
  </r>
  <r>
    <s v="Team B"/>
    <s v="Agent_1"/>
    <s v="Tuesday"/>
    <x v="1"/>
    <s v="3-6 months"/>
    <n v="59"/>
    <n v="5.82"/>
    <n v="0.12"/>
    <n v="0.79"/>
    <n v="3.64"/>
    <n v="0"/>
    <n v="23.73"/>
    <s v="Low"/>
  </r>
  <r>
    <s v="Team B"/>
    <s v="Agent_1"/>
    <s v="Tuesday"/>
    <x v="2"/>
    <s v="0-3 months"/>
    <n v="33"/>
    <n v="5.74"/>
    <n v="0.23"/>
    <n v="0.75"/>
    <n v="3.86"/>
    <n v="2"/>
    <n v="27.61"/>
    <s v="Low"/>
  </r>
  <r>
    <s v="Team B"/>
    <s v="Agent_1"/>
    <s v="Wednesday"/>
    <x v="0"/>
    <s v="0-3 months"/>
    <n v="44"/>
    <n v="9.0500000000000007"/>
    <n v="0.1"/>
    <n v="0.89"/>
    <n v="4.5199999999999996"/>
    <n v="0"/>
    <n v="28.58"/>
    <s v="High"/>
  </r>
  <r>
    <s v="Team B"/>
    <s v="Agent_1"/>
    <s v="Wednesday"/>
    <x v="1"/>
    <s v="3-6 months"/>
    <n v="75"/>
    <n v="6.5"/>
    <n v="0.1"/>
    <n v="0.89"/>
    <n v="4.79"/>
    <n v="1"/>
    <n v="26.75"/>
    <s v="Low"/>
  </r>
  <r>
    <s v="Team B"/>
    <s v="Agent_1"/>
    <s v="Wednesday"/>
    <x v="2"/>
    <s v="0-3 months"/>
    <n v="37"/>
    <n v="7.67"/>
    <n v="0.2"/>
    <n v="0.73"/>
    <n v="3.8"/>
    <n v="0"/>
    <n v="26.5"/>
    <s v="Low"/>
  </r>
  <r>
    <s v="Team B"/>
    <s v="Agent_1"/>
    <s v="Thursday"/>
    <x v="0"/>
    <s v="0-3 months"/>
    <n v="78"/>
    <n v="7.99"/>
    <n v="0.28999999999999998"/>
    <n v="0.87"/>
    <n v="4.54"/>
    <n v="1"/>
    <n v="28.98"/>
    <s v="High"/>
  </r>
  <r>
    <s v="Team B"/>
    <s v="Agent_1"/>
    <s v="Thursday"/>
    <x v="1"/>
    <s v="0-3 months"/>
    <n v="38"/>
    <n v="7.13"/>
    <n v="0.24"/>
    <n v="0.85"/>
    <n v="3.7"/>
    <n v="2"/>
    <n v="29.7"/>
    <s v="High"/>
  </r>
  <r>
    <s v="Team B"/>
    <s v="Agent_1"/>
    <s v="Thursday"/>
    <x v="2"/>
    <s v="0-3 months"/>
    <n v="76"/>
    <n v="6.33"/>
    <n v="0.06"/>
    <n v="0.82"/>
    <n v="4.62"/>
    <n v="0"/>
    <n v="24.5"/>
    <s v="Low"/>
  </r>
  <r>
    <s v="Team B"/>
    <s v="Agent_1"/>
    <s v="Friday"/>
    <x v="0"/>
    <s v="3-6 months"/>
    <n v="57"/>
    <n v="6.9"/>
    <n v="0.13"/>
    <n v="0.76"/>
    <n v="3.93"/>
    <n v="2"/>
    <n v="29.35"/>
    <s v="High"/>
  </r>
  <r>
    <s v="Team B"/>
    <s v="Agent_1"/>
    <s v="Friday"/>
    <x v="1"/>
    <s v="6+ months"/>
    <n v="63"/>
    <n v="7.47"/>
    <n v="7.0000000000000007E-2"/>
    <n v="0.81"/>
    <n v="3.84"/>
    <n v="1"/>
    <n v="28.2"/>
    <s v="High"/>
  </r>
  <r>
    <s v="Team B"/>
    <s v="Agent_1"/>
    <s v="Friday"/>
    <x v="2"/>
    <s v="3-6 months"/>
    <n v="35"/>
    <n v="8.41"/>
    <n v="0.09"/>
    <n v="0.77"/>
    <n v="4.21"/>
    <n v="2"/>
    <n v="31.62"/>
    <s v="High"/>
  </r>
  <r>
    <s v="Team B"/>
    <s v="Agent_2"/>
    <s v="Monday"/>
    <x v="0"/>
    <s v="6+ months"/>
    <n v="53"/>
    <n v="7.54"/>
    <n v="0.12"/>
    <n v="0.85"/>
    <n v="4.6100000000000003"/>
    <n v="2"/>
    <n v="30.31"/>
    <s v="High"/>
  </r>
  <r>
    <s v="Team B"/>
    <s v="Agent_2"/>
    <s v="Monday"/>
    <x v="1"/>
    <s v="6+ months"/>
    <n v="72"/>
    <n v="7.82"/>
    <n v="0.04"/>
    <n v="0.88"/>
    <n v="4.75"/>
    <n v="0"/>
    <n v="26.73"/>
    <s v="Low"/>
  </r>
  <r>
    <s v="Team B"/>
    <s v="Agent_2"/>
    <s v="Monday"/>
    <x v="2"/>
    <s v="6+ months"/>
    <n v="71"/>
    <n v="6.87"/>
    <n v="0.04"/>
    <n v="0.68"/>
    <n v="4.47"/>
    <n v="0"/>
    <n v="25.3"/>
    <s v="Low"/>
  </r>
  <r>
    <s v="Team B"/>
    <s v="Agent_2"/>
    <s v="Tuesday"/>
    <x v="0"/>
    <s v="6+ months"/>
    <n v="43"/>
    <n v="6.69"/>
    <n v="0.05"/>
    <n v="0.76"/>
    <n v="3.92"/>
    <n v="0"/>
    <n v="25.04"/>
    <s v="Low"/>
  </r>
  <r>
    <s v="Team B"/>
    <s v="Agent_2"/>
    <s v="Tuesday"/>
    <x v="1"/>
    <s v="0-3 months"/>
    <n v="63"/>
    <n v="8.36"/>
    <n v="0.21"/>
    <n v="0.83"/>
    <n v="4.51"/>
    <n v="0"/>
    <n v="27.54"/>
    <s v="Low"/>
  </r>
  <r>
    <s v="Team B"/>
    <s v="Agent_2"/>
    <s v="Tuesday"/>
    <x v="2"/>
    <s v="6+ months"/>
    <n v="39"/>
    <n v="8.69"/>
    <n v="7.0000000000000007E-2"/>
    <n v="0.64"/>
    <n v="4.4800000000000004"/>
    <n v="1"/>
    <n v="30.04"/>
    <s v="High"/>
  </r>
  <r>
    <s v="Team B"/>
    <s v="Agent_2"/>
    <s v="Wednesday"/>
    <x v="0"/>
    <s v="0-3 months"/>
    <n v="65"/>
    <n v="7.26"/>
    <n v="7.0000000000000007E-2"/>
    <n v="0.8"/>
    <n v="4.42"/>
    <n v="0"/>
    <n v="25.89"/>
    <s v="Low"/>
  </r>
  <r>
    <s v="Team B"/>
    <s v="Agent_2"/>
    <s v="Wednesday"/>
    <x v="1"/>
    <s v="3-6 months"/>
    <n v="30"/>
    <n v="6.91"/>
    <n v="0.1"/>
    <n v="0.84"/>
    <n v="4"/>
    <n v="0"/>
    <n v="25.36"/>
    <s v="Low"/>
  </r>
  <r>
    <s v="Team B"/>
    <s v="Agent_2"/>
    <s v="Wednesday"/>
    <x v="2"/>
    <s v="6+ months"/>
    <n v="76"/>
    <n v="9.41"/>
    <n v="0.08"/>
    <n v="0.79"/>
    <n v="4.3899999999999997"/>
    <n v="0"/>
    <n v="29.12"/>
    <s v="High"/>
  </r>
  <r>
    <s v="Team B"/>
    <s v="Agent_2"/>
    <s v="Thursday"/>
    <x v="0"/>
    <s v="0-3 months"/>
    <n v="58"/>
    <n v="7.59"/>
    <n v="0.26"/>
    <n v="0.79"/>
    <n v="4.59"/>
    <n v="1"/>
    <n v="28.38"/>
    <s v="High"/>
  </r>
  <r>
    <s v="Team B"/>
    <s v="Agent_2"/>
    <s v="Thursday"/>
    <x v="1"/>
    <s v="0-3 months"/>
    <n v="40"/>
    <n v="8.67"/>
    <n v="0.12"/>
    <n v="0.89"/>
    <n v="3.7"/>
    <n v="0"/>
    <n v="28"/>
    <s v="High"/>
  </r>
  <r>
    <s v="Team B"/>
    <s v="Agent_2"/>
    <s v="Thursday"/>
    <x v="2"/>
    <s v="6+ months"/>
    <n v="45"/>
    <n v="7.16"/>
    <n v="0.06"/>
    <n v="0.68"/>
    <n v="4.4400000000000004"/>
    <n v="1"/>
    <n v="27.74"/>
    <s v="High"/>
  </r>
  <r>
    <s v="Team B"/>
    <s v="Agent_2"/>
    <s v="Friday"/>
    <x v="0"/>
    <s v="0-3 months"/>
    <n v="78"/>
    <n v="9.0500000000000007"/>
    <n v="0.21"/>
    <n v="0.81"/>
    <n v="4.62"/>
    <n v="0"/>
    <n v="28.58"/>
    <s v="High"/>
  </r>
  <r>
    <s v="Team B"/>
    <s v="Agent_2"/>
    <s v="Friday"/>
    <x v="1"/>
    <s v="6+ months"/>
    <n v="75"/>
    <n v="7.34"/>
    <n v="0.09"/>
    <n v="0.75"/>
    <n v="4.54"/>
    <n v="0"/>
    <n v="26.01"/>
    <s v="Low"/>
  </r>
  <r>
    <s v="Team B"/>
    <s v="Agent_2"/>
    <s v="Friday"/>
    <x v="2"/>
    <s v="6+ months"/>
    <n v="32"/>
    <n v="6.31"/>
    <n v="0.04"/>
    <n v="0.72"/>
    <n v="3.5"/>
    <n v="0"/>
    <n v="24.46"/>
    <s v="Low"/>
  </r>
  <r>
    <s v="Team B"/>
    <s v="Agent_3"/>
    <s v="Monday"/>
    <x v="0"/>
    <s v="3-6 months"/>
    <n v="49"/>
    <n v="6.14"/>
    <n v="0.08"/>
    <n v="0.76"/>
    <n v="4.26"/>
    <n v="0"/>
    <n v="24.21"/>
    <s v="Low"/>
  </r>
  <r>
    <s v="Team B"/>
    <s v="Agent_3"/>
    <s v="Monday"/>
    <x v="1"/>
    <s v="6+ months"/>
    <n v="40"/>
    <n v="7.18"/>
    <n v="0.15"/>
    <n v="0.77"/>
    <n v="4.0999999999999996"/>
    <n v="1"/>
    <n v="27.77"/>
    <s v="High"/>
  </r>
  <r>
    <s v="Team B"/>
    <s v="Agent_3"/>
    <s v="Monday"/>
    <x v="2"/>
    <s v="3-6 months"/>
    <n v="76"/>
    <n v="5.92"/>
    <n v="0.11"/>
    <n v="0.82"/>
    <n v="4.51"/>
    <n v="0"/>
    <n v="23.88"/>
    <s v="Low"/>
  </r>
  <r>
    <s v="Team B"/>
    <s v="Agent_3"/>
    <s v="Tuesday"/>
    <x v="0"/>
    <s v="3-6 months"/>
    <n v="53"/>
    <n v="8.26"/>
    <n v="0.04"/>
    <n v="0.77"/>
    <n v="4.24"/>
    <n v="0"/>
    <n v="27.39"/>
    <s v="Low"/>
  </r>
  <r>
    <s v="Team B"/>
    <s v="Agent_3"/>
    <s v="Tuesday"/>
    <x v="1"/>
    <s v="3-6 months"/>
    <n v="57"/>
    <n v="8.02"/>
    <n v="0.02"/>
    <n v="0.8"/>
    <n v="4.17"/>
    <n v="0"/>
    <n v="27.03"/>
    <s v="Low"/>
  </r>
  <r>
    <s v="Team B"/>
    <s v="Agent_3"/>
    <s v="Tuesday"/>
    <x v="2"/>
    <s v="3-6 months"/>
    <n v="62"/>
    <n v="9.2799999999999994"/>
    <n v="0.13"/>
    <n v="0.69"/>
    <n v="3.92"/>
    <n v="3"/>
    <n v="34.92"/>
    <s v="High"/>
  </r>
  <r>
    <s v="Team B"/>
    <s v="Agent_3"/>
    <s v="Wednesday"/>
    <x v="0"/>
    <s v="0-3 months"/>
    <n v="79"/>
    <n v="7.85"/>
    <n v="0.08"/>
    <n v="0.88"/>
    <n v="4.2699999999999996"/>
    <n v="1"/>
    <n v="28.78"/>
    <s v="High"/>
  </r>
  <r>
    <s v="Team B"/>
    <s v="Agent_3"/>
    <s v="Wednesday"/>
    <x v="1"/>
    <s v="3-6 months"/>
    <n v="70"/>
    <n v="7.63"/>
    <n v="0.11"/>
    <n v="0.88"/>
    <n v="4.43"/>
    <n v="2"/>
    <n v="30.44"/>
    <s v="High"/>
  </r>
  <r>
    <s v="Team B"/>
    <s v="Agent_3"/>
    <s v="Wednesday"/>
    <x v="2"/>
    <s v="3-6 months"/>
    <n v="36"/>
    <n v="8.15"/>
    <n v="0.1"/>
    <n v="0.8"/>
    <n v="4.13"/>
    <n v="0"/>
    <n v="27.22"/>
    <s v="Low"/>
  </r>
  <r>
    <s v="Team B"/>
    <s v="Agent_3"/>
    <s v="Thursday"/>
    <x v="0"/>
    <s v="0-3 months"/>
    <n v="43"/>
    <n v="9.48"/>
    <n v="7.0000000000000007E-2"/>
    <n v="0.76"/>
    <n v="3.82"/>
    <n v="0"/>
    <n v="29.22"/>
    <s v="High"/>
  </r>
  <r>
    <s v="Team B"/>
    <s v="Agent_3"/>
    <s v="Thursday"/>
    <x v="1"/>
    <s v="6+ months"/>
    <n v="48"/>
    <n v="8.02"/>
    <n v="0.11"/>
    <n v="0.82"/>
    <n v="4.22"/>
    <n v="1"/>
    <n v="29.03"/>
    <s v="High"/>
  </r>
  <r>
    <s v="Team B"/>
    <s v="Agent_3"/>
    <s v="Thursday"/>
    <x v="2"/>
    <s v="0-3 months"/>
    <n v="61"/>
    <n v="6.93"/>
    <n v="0.19"/>
    <n v="0.72"/>
    <n v="3.61"/>
    <n v="0"/>
    <n v="25.4"/>
    <s v="Low"/>
  </r>
  <r>
    <s v="Team B"/>
    <s v="Agent_3"/>
    <s v="Friday"/>
    <x v="0"/>
    <s v="0-3 months"/>
    <n v="44"/>
    <n v="7.24"/>
    <n v="0.27"/>
    <n v="0.86"/>
    <n v="4.47"/>
    <n v="0"/>
    <n v="25.86"/>
    <s v="Low"/>
  </r>
  <r>
    <s v="Team B"/>
    <s v="Agent_3"/>
    <s v="Friday"/>
    <x v="1"/>
    <s v="3-6 months"/>
    <n v="73"/>
    <n v="5.83"/>
    <n v="0.12"/>
    <n v="0.83"/>
    <n v="4.21"/>
    <n v="0"/>
    <n v="23.74"/>
    <s v="Low"/>
  </r>
  <r>
    <s v="Team B"/>
    <s v="Agent_3"/>
    <s v="Friday"/>
    <x v="2"/>
    <s v="3-6 months"/>
    <n v="63"/>
    <n v="8.58"/>
    <n v="0.14000000000000001"/>
    <n v="0.71"/>
    <n v="3.86"/>
    <n v="0"/>
    <n v="27.87"/>
    <s v="High"/>
  </r>
  <r>
    <s v="Team B"/>
    <s v="Agent_4"/>
    <s v="Monday"/>
    <x v="0"/>
    <s v="6+ months"/>
    <n v="41"/>
    <n v="7.46"/>
    <n v="7.0000000000000007E-2"/>
    <n v="0.82"/>
    <n v="4.59"/>
    <n v="0"/>
    <n v="26.19"/>
    <s v="Low"/>
  </r>
  <r>
    <s v="Team B"/>
    <s v="Agent_4"/>
    <s v="Monday"/>
    <x v="1"/>
    <s v="6+ months"/>
    <n v="65"/>
    <n v="7.82"/>
    <n v="0.08"/>
    <n v="0.79"/>
    <n v="4.63"/>
    <n v="0"/>
    <n v="26.73"/>
    <s v="Low"/>
  </r>
  <r>
    <s v="Team B"/>
    <s v="Agent_4"/>
    <s v="Monday"/>
    <x v="2"/>
    <s v="3-6 months"/>
    <n v="54"/>
    <n v="7.21"/>
    <n v="0.11"/>
    <n v="0.62"/>
    <n v="4.3499999999999996"/>
    <n v="0"/>
    <n v="25.82"/>
    <s v="Low"/>
  </r>
  <r>
    <s v="Team B"/>
    <s v="Agent_4"/>
    <s v="Tuesday"/>
    <x v="0"/>
    <s v="3-6 months"/>
    <n v="64"/>
    <n v="6.21"/>
    <n v="0.12"/>
    <n v="0.77"/>
    <n v="4.76"/>
    <n v="0"/>
    <n v="24.32"/>
    <s v="Low"/>
  </r>
  <r>
    <s v="Team B"/>
    <s v="Agent_4"/>
    <s v="Tuesday"/>
    <x v="1"/>
    <s v="0-3 months"/>
    <n v="32"/>
    <n v="8.66"/>
    <n v="0.16"/>
    <n v="0.8"/>
    <n v="4.08"/>
    <n v="1"/>
    <n v="29.99"/>
    <s v="High"/>
  </r>
  <r>
    <s v="Team B"/>
    <s v="Agent_4"/>
    <s v="Tuesday"/>
    <x v="2"/>
    <s v="0-3 months"/>
    <n v="34"/>
    <n v="8.15"/>
    <n v="0.23"/>
    <n v="0.64"/>
    <n v="3.72"/>
    <n v="0"/>
    <n v="27.22"/>
    <s v="Low"/>
  </r>
  <r>
    <s v="Team B"/>
    <s v="Agent_4"/>
    <s v="Wednesday"/>
    <x v="0"/>
    <s v="6+ months"/>
    <n v="66"/>
    <n v="6.11"/>
    <n v="0.09"/>
    <n v="0.87"/>
    <n v="4.42"/>
    <n v="0"/>
    <n v="24.16"/>
    <s v="Low"/>
  </r>
  <r>
    <s v="Team B"/>
    <s v="Agent_4"/>
    <s v="Wednesday"/>
    <x v="1"/>
    <s v="6+ months"/>
    <n v="35"/>
    <n v="7.24"/>
    <n v="0.06"/>
    <n v="0.76"/>
    <n v="4.1900000000000004"/>
    <n v="2"/>
    <n v="29.86"/>
    <s v="High"/>
  </r>
  <r>
    <s v="Team B"/>
    <s v="Agent_4"/>
    <s v="Wednesday"/>
    <x v="2"/>
    <s v="0-3 months"/>
    <n v="64"/>
    <n v="7.3"/>
    <n v="0.16"/>
    <n v="0.83"/>
    <n v="3.91"/>
    <n v="0"/>
    <n v="25.95"/>
    <s v="Low"/>
  </r>
  <r>
    <s v="Team B"/>
    <s v="Agent_4"/>
    <s v="Thursday"/>
    <x v="0"/>
    <s v="0-3 months"/>
    <n v="71"/>
    <n v="7.02"/>
    <n v="0.22"/>
    <n v="0.75"/>
    <n v="3.92"/>
    <n v="3"/>
    <n v="31.53"/>
    <s v="High"/>
  </r>
  <r>
    <s v="Team B"/>
    <s v="Agent_4"/>
    <s v="Thursday"/>
    <x v="1"/>
    <s v="3-6 months"/>
    <n v="76"/>
    <n v="5.04"/>
    <n v="0.09"/>
    <n v="0.8"/>
    <n v="4.1900000000000004"/>
    <n v="0"/>
    <n v="22.56"/>
    <s v="Low"/>
  </r>
  <r>
    <s v="Team B"/>
    <s v="Agent_4"/>
    <s v="Thursday"/>
    <x v="2"/>
    <s v="0-3 months"/>
    <n v="45"/>
    <n v="7.56"/>
    <n v="0.09"/>
    <n v="0.65"/>
    <n v="4.45"/>
    <n v="0"/>
    <n v="26.34"/>
    <s v="Low"/>
  </r>
  <r>
    <s v="Team B"/>
    <s v="Agent_4"/>
    <s v="Friday"/>
    <x v="0"/>
    <s v="0-3 months"/>
    <n v="76"/>
    <n v="7.62"/>
    <n v="0.09"/>
    <n v="0.85"/>
    <n v="4.59"/>
    <n v="2"/>
    <n v="30.43"/>
    <s v="High"/>
  </r>
  <r>
    <s v="Team B"/>
    <s v="Agent_4"/>
    <s v="Friday"/>
    <x v="1"/>
    <s v="3-6 months"/>
    <n v="79"/>
    <n v="8.17"/>
    <n v="0.13"/>
    <n v="0.87"/>
    <n v="3.65"/>
    <n v="1"/>
    <n v="29.26"/>
    <s v="High"/>
  </r>
  <r>
    <s v="Team B"/>
    <s v="Agent_4"/>
    <s v="Friday"/>
    <x v="2"/>
    <s v="6+ months"/>
    <n v="30"/>
    <n v="6.98"/>
    <n v="0.05"/>
    <n v="0.76"/>
    <n v="4.01"/>
    <n v="1"/>
    <n v="27.47"/>
    <s v="Low"/>
  </r>
  <r>
    <s v="Team B"/>
    <s v="Agent_5"/>
    <s v="Monday"/>
    <x v="0"/>
    <s v="0-3 months"/>
    <n v="57"/>
    <n v="7.84"/>
    <n v="0.13"/>
    <n v="0.88"/>
    <n v="4.79"/>
    <n v="1"/>
    <n v="28.76"/>
    <s v="High"/>
  </r>
  <r>
    <s v="Team B"/>
    <s v="Agent_5"/>
    <s v="Monday"/>
    <x v="1"/>
    <s v="0-3 months"/>
    <n v="60"/>
    <n v="6.39"/>
    <n v="0.23"/>
    <n v="0.88"/>
    <n v="4.03"/>
    <n v="0"/>
    <n v="24.58"/>
    <s v="Low"/>
  </r>
  <r>
    <s v="Team B"/>
    <s v="Agent_5"/>
    <s v="Monday"/>
    <x v="2"/>
    <s v="3-6 months"/>
    <n v="35"/>
    <n v="8.2899999999999991"/>
    <n v="7.0000000000000007E-2"/>
    <n v="0.67"/>
    <n v="4.34"/>
    <n v="0"/>
    <n v="27.44"/>
    <s v="Low"/>
  </r>
  <r>
    <s v="Team B"/>
    <s v="Agent_5"/>
    <s v="Tuesday"/>
    <x v="0"/>
    <s v="3-6 months"/>
    <n v="36"/>
    <n v="7.11"/>
    <n v="0.09"/>
    <n v="0.81"/>
    <n v="4.21"/>
    <n v="0"/>
    <n v="25.66"/>
    <s v="Low"/>
  </r>
  <r>
    <s v="Team B"/>
    <s v="Agent_5"/>
    <s v="Tuesday"/>
    <x v="1"/>
    <s v="3-6 months"/>
    <n v="64"/>
    <n v="9.14"/>
    <n v="0.1"/>
    <n v="0.82"/>
    <n v="3.99"/>
    <n v="2"/>
    <n v="32.71"/>
    <s v="High"/>
  </r>
  <r>
    <s v="Team B"/>
    <s v="Agent_5"/>
    <s v="Tuesday"/>
    <x v="2"/>
    <s v="3-6 months"/>
    <n v="35"/>
    <n v="8.51"/>
    <n v="0.14000000000000001"/>
    <n v="0.8"/>
    <n v="3.64"/>
    <n v="0"/>
    <n v="27.76"/>
    <s v="High"/>
  </r>
  <r>
    <s v="Team B"/>
    <s v="Agent_5"/>
    <s v="Wednesday"/>
    <x v="0"/>
    <s v="3-6 months"/>
    <n v="44"/>
    <n v="9.83"/>
    <n v="0.12"/>
    <n v="0.87"/>
    <n v="4.43"/>
    <n v="3"/>
    <n v="35.75"/>
    <s v="High"/>
  </r>
  <r>
    <s v="Team B"/>
    <s v="Agent_5"/>
    <s v="Wednesday"/>
    <x v="1"/>
    <s v="0-3 months"/>
    <n v="52"/>
    <n v="8.23"/>
    <n v="0.16"/>
    <n v="0.88"/>
    <n v="3.59"/>
    <n v="3"/>
    <n v="33.340000000000003"/>
    <s v="High"/>
  </r>
  <r>
    <s v="Team B"/>
    <s v="Agent_5"/>
    <s v="Wednesday"/>
    <x v="2"/>
    <s v="3-6 months"/>
    <n v="44"/>
    <n v="7.4"/>
    <n v="0.05"/>
    <n v="0.64"/>
    <n v="4.3"/>
    <n v="0"/>
    <n v="26.1"/>
    <s v="Low"/>
  </r>
  <r>
    <s v="Team B"/>
    <s v="Agent_5"/>
    <s v="Thursday"/>
    <x v="0"/>
    <s v="3-6 months"/>
    <n v="58"/>
    <n v="6.09"/>
    <n v="0.12"/>
    <n v="0.83"/>
    <n v="3.9"/>
    <n v="1"/>
    <n v="26.14"/>
    <s v="Low"/>
  </r>
  <r>
    <s v="Team B"/>
    <s v="Agent_5"/>
    <s v="Thursday"/>
    <x v="1"/>
    <s v="6+ months"/>
    <n v="78"/>
    <n v="6.44"/>
    <n v="0.13"/>
    <n v="0.87"/>
    <n v="3.74"/>
    <n v="0"/>
    <n v="24.66"/>
    <s v="Low"/>
  </r>
  <r>
    <s v="Team B"/>
    <s v="Agent_5"/>
    <s v="Thursday"/>
    <x v="2"/>
    <s v="6+ months"/>
    <n v="71"/>
    <n v="7.56"/>
    <n v="0.14000000000000001"/>
    <n v="0.71"/>
    <n v="3.61"/>
    <n v="2"/>
    <n v="30.34"/>
    <s v="High"/>
  </r>
  <r>
    <s v="Team B"/>
    <s v="Agent_5"/>
    <s v="Friday"/>
    <x v="0"/>
    <s v="3-6 months"/>
    <n v="74"/>
    <n v="7.97"/>
    <n v="0.1"/>
    <n v="0.87"/>
    <n v="4.6500000000000004"/>
    <n v="0"/>
    <n v="26.96"/>
    <s v="Low"/>
  </r>
  <r>
    <s v="Team B"/>
    <s v="Agent_5"/>
    <s v="Friday"/>
    <x v="1"/>
    <s v="0-3 months"/>
    <n v="39"/>
    <n v="7.64"/>
    <n v="0.09"/>
    <n v="0.8"/>
    <n v="4.68"/>
    <n v="1"/>
    <n v="28.46"/>
    <s v="High"/>
  </r>
  <r>
    <s v="Team B"/>
    <s v="Agent_5"/>
    <s v="Friday"/>
    <x v="2"/>
    <s v="3-6 months"/>
    <n v="56"/>
    <n v="6.78"/>
    <n v="0.13"/>
    <n v="0.71"/>
    <n v="4.37"/>
    <n v="0"/>
    <n v="25.17"/>
    <s v="Low"/>
  </r>
  <r>
    <s v="Team B"/>
    <s v="Agent_6"/>
    <s v="Monday"/>
    <x v="0"/>
    <s v="3-6 months"/>
    <n v="62"/>
    <n v="8.39"/>
    <n v="0.08"/>
    <n v="0.77"/>
    <n v="3.81"/>
    <n v="2"/>
    <n v="31.58"/>
    <s v="High"/>
  </r>
  <r>
    <s v="Team B"/>
    <s v="Agent_6"/>
    <s v="Monday"/>
    <x v="1"/>
    <s v="3-6 months"/>
    <n v="50"/>
    <n v="8.7200000000000006"/>
    <n v="0.09"/>
    <n v="0.78"/>
    <n v="4.01"/>
    <n v="0"/>
    <n v="28.08"/>
    <s v="High"/>
  </r>
  <r>
    <s v="Team B"/>
    <s v="Agent_6"/>
    <s v="Monday"/>
    <x v="2"/>
    <s v="3-6 months"/>
    <n v="31"/>
    <n v="9.1199999999999992"/>
    <n v="0.06"/>
    <n v="0.75"/>
    <n v="4.38"/>
    <n v="0"/>
    <n v="28.68"/>
    <s v="High"/>
  </r>
  <r>
    <s v="Team B"/>
    <s v="Agent_6"/>
    <s v="Tuesday"/>
    <x v="0"/>
    <s v="3-6 months"/>
    <n v="70"/>
    <n v="8.07"/>
    <n v="0.06"/>
    <n v="0.76"/>
    <n v="3.61"/>
    <n v="2"/>
    <n v="31.1"/>
    <s v="High"/>
  </r>
  <r>
    <s v="Team B"/>
    <s v="Agent_6"/>
    <s v="Tuesday"/>
    <x v="1"/>
    <s v="0-3 months"/>
    <n v="37"/>
    <n v="9.1300000000000008"/>
    <n v="0.14000000000000001"/>
    <n v="0.8"/>
    <n v="4.3"/>
    <n v="0"/>
    <n v="28.7"/>
    <s v="High"/>
  </r>
  <r>
    <s v="Team B"/>
    <s v="Agent_6"/>
    <s v="Tuesday"/>
    <x v="2"/>
    <s v="6+ months"/>
    <n v="34"/>
    <n v="7.7"/>
    <n v="0.06"/>
    <n v="0.75"/>
    <n v="4.38"/>
    <n v="0"/>
    <n v="26.55"/>
    <s v="Low"/>
  </r>
  <r>
    <s v="Team B"/>
    <s v="Agent_6"/>
    <s v="Wednesday"/>
    <x v="0"/>
    <s v="3-6 months"/>
    <n v="51"/>
    <n v="6.9"/>
    <n v="0.11"/>
    <n v="0.9"/>
    <n v="4.3600000000000003"/>
    <n v="0"/>
    <n v="25.35"/>
    <s v="Low"/>
  </r>
  <r>
    <s v="Team B"/>
    <s v="Agent_6"/>
    <s v="Wednesday"/>
    <x v="1"/>
    <s v="6+ months"/>
    <n v="59"/>
    <n v="8.3699999999999992"/>
    <n v="0.03"/>
    <n v="0.89"/>
    <n v="4.33"/>
    <n v="1"/>
    <n v="29.56"/>
    <s v="High"/>
  </r>
  <r>
    <s v="Team B"/>
    <s v="Agent_6"/>
    <s v="Wednesday"/>
    <x v="2"/>
    <s v="0-3 months"/>
    <n v="71"/>
    <n v="5.7"/>
    <n v="7.0000000000000007E-2"/>
    <n v="0.71"/>
    <n v="4.4800000000000004"/>
    <n v="0"/>
    <n v="23.55"/>
    <s v="Low"/>
  </r>
  <r>
    <s v="Team B"/>
    <s v="Agent_6"/>
    <s v="Thursday"/>
    <x v="0"/>
    <s v="3-6 months"/>
    <n v="49"/>
    <n v="5.16"/>
    <n v="0.04"/>
    <n v="0.9"/>
    <n v="3.53"/>
    <n v="1"/>
    <n v="24.74"/>
    <s v="Low"/>
  </r>
  <r>
    <s v="Team B"/>
    <s v="Agent_6"/>
    <s v="Thursday"/>
    <x v="1"/>
    <s v="6+ months"/>
    <n v="30"/>
    <n v="7"/>
    <n v="0.13"/>
    <n v="0.83"/>
    <n v="4.3099999999999996"/>
    <n v="0"/>
    <n v="25.5"/>
    <s v="Low"/>
  </r>
  <r>
    <s v="Team B"/>
    <s v="Agent_6"/>
    <s v="Thursday"/>
    <x v="2"/>
    <s v="6+ months"/>
    <n v="62"/>
    <n v="7.66"/>
    <n v="0.04"/>
    <n v="0.62"/>
    <n v="3.65"/>
    <n v="0"/>
    <n v="26.49"/>
    <s v="Low"/>
  </r>
  <r>
    <s v="Team B"/>
    <s v="Agent_6"/>
    <s v="Friday"/>
    <x v="0"/>
    <s v="3-6 months"/>
    <n v="70"/>
    <n v="9.9700000000000006"/>
    <n v="0.03"/>
    <n v="0.89"/>
    <n v="4.22"/>
    <n v="0"/>
    <n v="29.96"/>
    <s v="High"/>
  </r>
  <r>
    <s v="Team B"/>
    <s v="Agent_6"/>
    <s v="Friday"/>
    <x v="1"/>
    <s v="3-6 months"/>
    <n v="52"/>
    <n v="7.95"/>
    <n v="0.09"/>
    <n v="0.83"/>
    <n v="4.01"/>
    <n v="0"/>
    <n v="26.92"/>
    <s v="Low"/>
  </r>
  <r>
    <s v="Team B"/>
    <s v="Agent_6"/>
    <s v="Friday"/>
    <x v="2"/>
    <s v="3-6 months"/>
    <n v="67"/>
    <n v="6.97"/>
    <n v="0.13"/>
    <n v="0.7"/>
    <n v="4.6399999999999997"/>
    <n v="2"/>
    <n v="29.46"/>
    <s v="High"/>
  </r>
  <r>
    <s v="Team B"/>
    <s v="Agent_7"/>
    <s v="Monday"/>
    <x v="0"/>
    <s v="6+ months"/>
    <n v="45"/>
    <n v="8.08"/>
    <n v="0.06"/>
    <n v="0.75"/>
    <n v="3.7"/>
    <n v="0"/>
    <n v="27.12"/>
    <s v="Low"/>
  </r>
  <r>
    <s v="Team B"/>
    <s v="Agent_7"/>
    <s v="Monday"/>
    <x v="1"/>
    <s v="6+ months"/>
    <n v="47"/>
    <n v="6.98"/>
    <n v="0.1"/>
    <n v="0.87"/>
    <n v="3.67"/>
    <n v="2"/>
    <n v="29.47"/>
    <s v="High"/>
  </r>
  <r>
    <s v="Team B"/>
    <s v="Agent_7"/>
    <s v="Monday"/>
    <x v="2"/>
    <s v="6+ months"/>
    <n v="43"/>
    <n v="6.98"/>
    <n v="0.14000000000000001"/>
    <n v="0.81"/>
    <n v="4.37"/>
    <n v="0"/>
    <n v="25.47"/>
    <s v="Low"/>
  </r>
  <r>
    <s v="Team B"/>
    <s v="Agent_7"/>
    <s v="Tuesday"/>
    <x v="0"/>
    <s v="3-6 months"/>
    <n v="33"/>
    <n v="8.43"/>
    <n v="0.04"/>
    <n v="0.89"/>
    <n v="4.21"/>
    <n v="3"/>
    <n v="33.64"/>
    <s v="High"/>
  </r>
  <r>
    <s v="Team B"/>
    <s v="Agent_7"/>
    <s v="Tuesday"/>
    <x v="1"/>
    <s v="3-6 months"/>
    <n v="42"/>
    <n v="8.23"/>
    <n v="0.02"/>
    <n v="0.75"/>
    <n v="4.28"/>
    <n v="0"/>
    <n v="27.34"/>
    <s v="Low"/>
  </r>
  <r>
    <s v="Team B"/>
    <s v="Agent_7"/>
    <s v="Tuesday"/>
    <x v="2"/>
    <s v="3-6 months"/>
    <n v="34"/>
    <n v="7.04"/>
    <n v="0.12"/>
    <n v="0.71"/>
    <n v="3.58"/>
    <n v="3"/>
    <n v="31.56"/>
    <s v="High"/>
  </r>
  <r>
    <s v="Team B"/>
    <s v="Agent_7"/>
    <s v="Wednesday"/>
    <x v="0"/>
    <s v="0-3 months"/>
    <n v="44"/>
    <n v="6.89"/>
    <n v="0.22"/>
    <n v="0.76"/>
    <n v="4.16"/>
    <n v="3"/>
    <n v="31.34"/>
    <s v="High"/>
  </r>
  <r>
    <s v="Team B"/>
    <s v="Agent_7"/>
    <s v="Wednesday"/>
    <x v="1"/>
    <s v="6+ months"/>
    <n v="68"/>
    <n v="7.2"/>
    <n v="0.05"/>
    <n v="0.78"/>
    <n v="4.3499999999999996"/>
    <n v="2"/>
    <n v="29.8"/>
    <s v="High"/>
  </r>
  <r>
    <s v="Team B"/>
    <s v="Agent_7"/>
    <s v="Wednesday"/>
    <x v="2"/>
    <s v="6+ months"/>
    <n v="66"/>
    <n v="7.37"/>
    <n v="0.05"/>
    <n v="0.69"/>
    <n v="4.04"/>
    <n v="2"/>
    <n v="30.06"/>
    <s v="High"/>
  </r>
  <r>
    <s v="Team B"/>
    <s v="Agent_7"/>
    <s v="Thursday"/>
    <x v="0"/>
    <s v="6+ months"/>
    <n v="51"/>
    <n v="8.49"/>
    <n v="0.15"/>
    <n v="0.79"/>
    <n v="3.67"/>
    <n v="0"/>
    <n v="27.74"/>
    <s v="High"/>
  </r>
  <r>
    <s v="Team B"/>
    <s v="Agent_7"/>
    <s v="Thursday"/>
    <x v="1"/>
    <s v="6+ months"/>
    <n v="50"/>
    <n v="6.95"/>
    <n v="0.09"/>
    <n v="0.78"/>
    <n v="3.52"/>
    <n v="0"/>
    <n v="25.42"/>
    <s v="Low"/>
  </r>
  <r>
    <s v="Team B"/>
    <s v="Agent_7"/>
    <s v="Thursday"/>
    <x v="2"/>
    <s v="6+ months"/>
    <n v="47"/>
    <n v="7.89"/>
    <n v="0.03"/>
    <n v="0.61"/>
    <n v="3.98"/>
    <n v="0"/>
    <n v="26.84"/>
    <s v="Low"/>
  </r>
  <r>
    <s v="Team B"/>
    <s v="Agent_7"/>
    <s v="Friday"/>
    <x v="0"/>
    <s v="3-6 months"/>
    <n v="50"/>
    <n v="6.31"/>
    <n v="0.06"/>
    <n v="0.86"/>
    <n v="4.12"/>
    <n v="0"/>
    <n v="24.46"/>
    <s v="Low"/>
  </r>
  <r>
    <s v="Team B"/>
    <s v="Agent_7"/>
    <s v="Friday"/>
    <x v="1"/>
    <s v="3-6 months"/>
    <n v="67"/>
    <n v="7.46"/>
    <n v="7.0000000000000007E-2"/>
    <n v="0.89"/>
    <n v="3.67"/>
    <n v="0"/>
    <n v="26.19"/>
    <s v="Low"/>
  </r>
  <r>
    <s v="Team B"/>
    <s v="Agent_7"/>
    <s v="Friday"/>
    <x v="2"/>
    <s v="3-6 months"/>
    <n v="70"/>
    <n v="6.89"/>
    <n v="0.05"/>
    <n v="0.81"/>
    <n v="3.55"/>
    <n v="2"/>
    <n v="29.34"/>
    <s v="High"/>
  </r>
  <r>
    <s v="Team B"/>
    <s v="Agent_8"/>
    <s v="Monday"/>
    <x v="0"/>
    <s v="3-6 months"/>
    <n v="40"/>
    <n v="9.33"/>
    <n v="0.08"/>
    <n v="0.81"/>
    <n v="4.09"/>
    <n v="0"/>
    <n v="29"/>
    <s v="High"/>
  </r>
  <r>
    <s v="Team B"/>
    <s v="Agent_8"/>
    <s v="Monday"/>
    <x v="1"/>
    <s v="6+ months"/>
    <n v="52"/>
    <n v="6.31"/>
    <n v="0.12"/>
    <n v="0.83"/>
    <n v="4.38"/>
    <n v="0"/>
    <n v="24.46"/>
    <s v="Low"/>
  </r>
  <r>
    <s v="Team B"/>
    <s v="Agent_8"/>
    <s v="Monday"/>
    <x v="2"/>
    <s v="0-3 months"/>
    <n v="72"/>
    <n v="7.56"/>
    <n v="0.21"/>
    <n v="0.8"/>
    <n v="3.64"/>
    <n v="0"/>
    <n v="26.34"/>
    <s v="Low"/>
  </r>
  <r>
    <s v="Team B"/>
    <s v="Agent_8"/>
    <s v="Tuesday"/>
    <x v="0"/>
    <s v="3-6 months"/>
    <n v="69"/>
    <n v="6.15"/>
    <n v="7.0000000000000007E-2"/>
    <n v="0.87"/>
    <n v="4.3600000000000003"/>
    <n v="0"/>
    <n v="24.22"/>
    <s v="Low"/>
  </r>
  <r>
    <s v="Team B"/>
    <s v="Agent_8"/>
    <s v="Tuesday"/>
    <x v="1"/>
    <s v="0-3 months"/>
    <n v="34"/>
    <n v="6.53"/>
    <n v="0.19"/>
    <n v="0.87"/>
    <n v="3.59"/>
    <n v="0"/>
    <n v="24.8"/>
    <s v="Low"/>
  </r>
  <r>
    <s v="Team B"/>
    <s v="Agent_8"/>
    <s v="Tuesday"/>
    <x v="2"/>
    <s v="0-3 months"/>
    <n v="77"/>
    <n v="8.11"/>
    <n v="0.15"/>
    <n v="0.65"/>
    <n v="3.66"/>
    <n v="1"/>
    <n v="29.16"/>
    <s v="High"/>
  </r>
  <r>
    <s v="Team B"/>
    <s v="Agent_8"/>
    <s v="Wednesday"/>
    <x v="0"/>
    <s v="6+ months"/>
    <n v="70"/>
    <n v="8.81"/>
    <n v="0.14000000000000001"/>
    <n v="0.82"/>
    <n v="4.66"/>
    <n v="0"/>
    <n v="28.22"/>
    <s v="High"/>
  </r>
  <r>
    <s v="Team B"/>
    <s v="Agent_8"/>
    <s v="Wednesday"/>
    <x v="1"/>
    <s v="0-3 months"/>
    <n v="56"/>
    <n v="7.56"/>
    <n v="0.2"/>
    <n v="0.86"/>
    <n v="4.5599999999999996"/>
    <n v="1"/>
    <n v="28.34"/>
    <s v="High"/>
  </r>
  <r>
    <s v="Team B"/>
    <s v="Agent_8"/>
    <s v="Wednesday"/>
    <x v="2"/>
    <s v="0-3 months"/>
    <n v="44"/>
    <n v="7.77"/>
    <n v="0.08"/>
    <n v="0.75"/>
    <n v="3.62"/>
    <n v="0"/>
    <n v="26.66"/>
    <s v="Low"/>
  </r>
  <r>
    <s v="Team B"/>
    <s v="Agent_8"/>
    <s v="Thursday"/>
    <x v="0"/>
    <s v="3-6 months"/>
    <n v="54"/>
    <n v="6.99"/>
    <n v="0.14000000000000001"/>
    <n v="0.85"/>
    <n v="4.1399999999999997"/>
    <n v="0"/>
    <n v="25.48"/>
    <s v="Low"/>
  </r>
  <r>
    <s v="Team B"/>
    <s v="Agent_8"/>
    <s v="Thursday"/>
    <x v="1"/>
    <s v="6+ months"/>
    <n v="61"/>
    <n v="6.74"/>
    <n v="0.06"/>
    <n v="0.88"/>
    <n v="3.84"/>
    <n v="0"/>
    <n v="25.11"/>
    <s v="Low"/>
  </r>
  <r>
    <s v="Team B"/>
    <s v="Agent_8"/>
    <s v="Thursday"/>
    <x v="2"/>
    <s v="3-6 months"/>
    <n v="50"/>
    <n v="6.21"/>
    <n v="0.03"/>
    <n v="0.68"/>
    <n v="4.4800000000000004"/>
    <n v="0"/>
    <n v="24.32"/>
    <s v="Low"/>
  </r>
  <r>
    <s v="Team B"/>
    <s v="Agent_8"/>
    <s v="Friday"/>
    <x v="0"/>
    <s v="3-6 months"/>
    <n v="42"/>
    <n v="7.73"/>
    <n v="0.04"/>
    <n v="0.77"/>
    <n v="4.4400000000000004"/>
    <n v="2"/>
    <n v="30.6"/>
    <s v="High"/>
  </r>
  <r>
    <s v="Team B"/>
    <s v="Agent_8"/>
    <s v="Friday"/>
    <x v="1"/>
    <s v="0-3 months"/>
    <n v="52"/>
    <n v="7.99"/>
    <n v="0.19"/>
    <n v="0.84"/>
    <n v="4.16"/>
    <n v="0"/>
    <n v="26.98"/>
    <s v="Low"/>
  </r>
  <r>
    <s v="Team B"/>
    <s v="Agent_8"/>
    <s v="Friday"/>
    <x v="2"/>
    <s v="3-6 months"/>
    <n v="58"/>
    <n v="8.2200000000000006"/>
    <n v="0.03"/>
    <n v="0.74"/>
    <n v="4.6399999999999997"/>
    <n v="0"/>
    <n v="27.33"/>
    <s v="Low"/>
  </r>
  <r>
    <s v="Team B"/>
    <s v="Agent_9"/>
    <s v="Monday"/>
    <x v="0"/>
    <s v="0-3 months"/>
    <n v="45"/>
    <n v="8.1"/>
    <n v="0.27"/>
    <n v="0.79"/>
    <n v="3.75"/>
    <n v="2"/>
    <n v="31.15"/>
    <s v="High"/>
  </r>
  <r>
    <s v="Team B"/>
    <s v="Agent_9"/>
    <s v="Monday"/>
    <x v="1"/>
    <s v="3-6 months"/>
    <n v="54"/>
    <n v="8.27"/>
    <n v="0.09"/>
    <n v="0.86"/>
    <n v="4.3"/>
    <n v="0"/>
    <n v="27.4"/>
    <s v="Low"/>
  </r>
  <r>
    <s v="Team B"/>
    <s v="Agent_9"/>
    <s v="Monday"/>
    <x v="2"/>
    <s v="3-6 months"/>
    <n v="42"/>
    <n v="9.14"/>
    <n v="0.13"/>
    <n v="0.81"/>
    <n v="4.58"/>
    <n v="0"/>
    <n v="28.71"/>
    <s v="High"/>
  </r>
  <r>
    <s v="Team B"/>
    <s v="Agent_9"/>
    <s v="Tuesday"/>
    <x v="0"/>
    <s v="6+ months"/>
    <n v="49"/>
    <n v="10.130000000000001"/>
    <n v="0.06"/>
    <n v="0.77"/>
    <n v="3.9"/>
    <n v="2"/>
    <n v="34.200000000000003"/>
    <s v="High"/>
  </r>
  <r>
    <s v="Team B"/>
    <s v="Agent_9"/>
    <s v="Tuesday"/>
    <x v="1"/>
    <s v="6+ months"/>
    <n v="33"/>
    <n v="9.06"/>
    <n v="0.12"/>
    <n v="0.78"/>
    <n v="3.68"/>
    <n v="1"/>
    <n v="30.59"/>
    <s v="High"/>
  </r>
  <r>
    <s v="Team B"/>
    <s v="Agent_9"/>
    <s v="Tuesday"/>
    <x v="2"/>
    <s v="0-3 months"/>
    <n v="68"/>
    <n v="6.25"/>
    <n v="0.05"/>
    <n v="0.75"/>
    <n v="3.96"/>
    <n v="1"/>
    <n v="26.38"/>
    <s v="Low"/>
  </r>
  <r>
    <s v="Team B"/>
    <s v="Agent_9"/>
    <s v="Wednesday"/>
    <x v="0"/>
    <s v="0-3 months"/>
    <n v="36"/>
    <n v="9.7100000000000009"/>
    <n v="7.0000000000000007E-2"/>
    <n v="0.84"/>
    <n v="4.2300000000000004"/>
    <n v="0"/>
    <n v="29.56"/>
    <s v="High"/>
  </r>
  <r>
    <s v="Team B"/>
    <s v="Agent_9"/>
    <s v="Wednesday"/>
    <x v="1"/>
    <s v="3-6 months"/>
    <n v="63"/>
    <n v="7.2"/>
    <n v="0.1"/>
    <n v="0.84"/>
    <n v="3.53"/>
    <n v="0"/>
    <n v="25.8"/>
    <s v="Low"/>
  </r>
  <r>
    <s v="Team B"/>
    <s v="Agent_9"/>
    <s v="Wednesday"/>
    <x v="2"/>
    <s v="3-6 months"/>
    <n v="48"/>
    <n v="7.33"/>
    <n v="0.12"/>
    <n v="0.78"/>
    <n v="4.53"/>
    <n v="0"/>
    <n v="26"/>
    <s v="Low"/>
  </r>
  <r>
    <s v="Team B"/>
    <s v="Agent_9"/>
    <s v="Thursday"/>
    <x v="0"/>
    <s v="3-6 months"/>
    <n v="65"/>
    <n v="7.05"/>
    <n v="0.04"/>
    <n v="0.86"/>
    <n v="3.81"/>
    <n v="0"/>
    <n v="25.58"/>
    <s v="Low"/>
  </r>
  <r>
    <s v="Team B"/>
    <s v="Agent_9"/>
    <s v="Thursday"/>
    <x v="1"/>
    <s v="0-3 months"/>
    <n v="57"/>
    <n v="7.69"/>
    <n v="0.16"/>
    <n v="0.85"/>
    <n v="4.5199999999999996"/>
    <n v="0"/>
    <n v="26.54"/>
    <s v="Low"/>
  </r>
  <r>
    <s v="Team B"/>
    <s v="Agent_9"/>
    <s v="Thursday"/>
    <x v="2"/>
    <s v="3-6 months"/>
    <n v="43"/>
    <n v="8.08"/>
    <n v="0.12"/>
    <n v="0.78"/>
    <n v="4.74"/>
    <n v="0"/>
    <n v="27.12"/>
    <s v="Low"/>
  </r>
  <r>
    <s v="Team B"/>
    <s v="Agent_9"/>
    <s v="Friday"/>
    <x v="0"/>
    <s v="3-6 months"/>
    <n v="39"/>
    <n v="7.64"/>
    <n v="0.06"/>
    <n v="0.89"/>
    <n v="3.84"/>
    <n v="0"/>
    <n v="26.46"/>
    <s v="Low"/>
  </r>
  <r>
    <s v="Team B"/>
    <s v="Agent_9"/>
    <s v="Friday"/>
    <x v="1"/>
    <s v="6+ months"/>
    <n v="58"/>
    <n v="5.73"/>
    <n v="0.08"/>
    <n v="0.82"/>
    <n v="4.07"/>
    <n v="2"/>
    <n v="27.6"/>
    <s v="Low"/>
  </r>
  <r>
    <s v="Team B"/>
    <s v="Agent_9"/>
    <s v="Friday"/>
    <x v="2"/>
    <s v="6+ months"/>
    <n v="55"/>
    <n v="7.71"/>
    <n v="0.08"/>
    <n v="0.71"/>
    <n v="4.45"/>
    <n v="1"/>
    <n v="28.56"/>
    <s v="High"/>
  </r>
  <r>
    <s v="Team B"/>
    <s v="Agent_10"/>
    <s v="Monday"/>
    <x v="0"/>
    <s v="0-3 months"/>
    <n v="73"/>
    <n v="7.12"/>
    <n v="0.08"/>
    <n v="0.86"/>
    <n v="4.3499999999999996"/>
    <n v="3"/>
    <n v="31.68"/>
    <s v="High"/>
  </r>
  <r>
    <s v="Team B"/>
    <s v="Agent_10"/>
    <s v="Monday"/>
    <x v="1"/>
    <s v="0-3 months"/>
    <n v="73"/>
    <n v="6.55"/>
    <n v="0.25"/>
    <n v="0.9"/>
    <n v="3.98"/>
    <n v="0"/>
    <n v="24.82"/>
    <s v="Low"/>
  </r>
  <r>
    <s v="Team B"/>
    <s v="Agent_10"/>
    <s v="Monday"/>
    <x v="2"/>
    <s v="6+ months"/>
    <n v="35"/>
    <n v="6.55"/>
    <n v="0.03"/>
    <n v="0.72"/>
    <n v="3.54"/>
    <n v="0"/>
    <n v="24.82"/>
    <s v="Low"/>
  </r>
  <r>
    <s v="Team B"/>
    <s v="Agent_10"/>
    <s v="Tuesday"/>
    <x v="0"/>
    <s v="6+ months"/>
    <n v="50"/>
    <n v="5.08"/>
    <n v="7.0000000000000007E-2"/>
    <n v="0.88"/>
    <n v="3.53"/>
    <n v="1"/>
    <n v="24.62"/>
    <s v="Low"/>
  </r>
  <r>
    <s v="Team B"/>
    <s v="Agent_10"/>
    <s v="Tuesday"/>
    <x v="1"/>
    <s v="6+ months"/>
    <n v="44"/>
    <n v="8.3800000000000008"/>
    <n v="0.13"/>
    <n v="0.81"/>
    <n v="4.58"/>
    <n v="1"/>
    <n v="29.57"/>
    <s v="High"/>
  </r>
  <r>
    <s v="Team B"/>
    <s v="Agent_10"/>
    <s v="Tuesday"/>
    <x v="2"/>
    <s v="3-6 months"/>
    <n v="66"/>
    <n v="6.39"/>
    <n v="0.09"/>
    <n v="0.72"/>
    <n v="4.76"/>
    <n v="1"/>
    <n v="26.58"/>
    <s v="Low"/>
  </r>
  <r>
    <s v="Team B"/>
    <s v="Agent_10"/>
    <s v="Wednesday"/>
    <x v="0"/>
    <s v="3-6 months"/>
    <n v="70"/>
    <n v="8.07"/>
    <n v="0.02"/>
    <n v="0.86"/>
    <n v="4.04"/>
    <n v="0"/>
    <n v="27.1"/>
    <s v="Low"/>
  </r>
  <r>
    <s v="Team B"/>
    <s v="Agent_10"/>
    <s v="Wednesday"/>
    <x v="1"/>
    <s v="3-6 months"/>
    <n v="62"/>
    <n v="6.48"/>
    <n v="0.13"/>
    <n v="0.86"/>
    <n v="3.59"/>
    <n v="1"/>
    <n v="26.72"/>
    <s v="Low"/>
  </r>
  <r>
    <s v="Team B"/>
    <s v="Agent_10"/>
    <s v="Wednesday"/>
    <x v="2"/>
    <s v="3-6 months"/>
    <n v="35"/>
    <n v="7.56"/>
    <n v="0.05"/>
    <n v="0.81"/>
    <n v="4.0599999999999996"/>
    <n v="0"/>
    <n v="26.34"/>
    <s v="Low"/>
  </r>
  <r>
    <s v="Team B"/>
    <s v="Agent_10"/>
    <s v="Thursday"/>
    <x v="0"/>
    <s v="3-6 months"/>
    <n v="31"/>
    <n v="9.1300000000000008"/>
    <n v="0.06"/>
    <n v="0.87"/>
    <n v="3.65"/>
    <n v="0"/>
    <n v="28.7"/>
    <s v="High"/>
  </r>
  <r>
    <s v="Team B"/>
    <s v="Agent_10"/>
    <s v="Thursday"/>
    <x v="1"/>
    <s v="6+ months"/>
    <n v="78"/>
    <n v="7.24"/>
    <n v="0.05"/>
    <n v="0.79"/>
    <n v="3.71"/>
    <n v="0"/>
    <n v="25.86"/>
    <s v="Low"/>
  </r>
  <r>
    <s v="Team B"/>
    <s v="Agent_10"/>
    <s v="Thursday"/>
    <x v="2"/>
    <s v="6+ months"/>
    <n v="51"/>
    <n v="6.53"/>
    <n v="0.05"/>
    <n v="0.84"/>
    <n v="4.2300000000000004"/>
    <n v="1"/>
    <n v="26.8"/>
    <s v="Low"/>
  </r>
  <r>
    <s v="Team B"/>
    <s v="Agent_10"/>
    <s v="Friday"/>
    <x v="0"/>
    <s v="3-6 months"/>
    <n v="31"/>
    <n v="7.96"/>
    <n v="0.03"/>
    <n v="0.82"/>
    <n v="4.68"/>
    <n v="0"/>
    <n v="26.94"/>
    <s v="Low"/>
  </r>
  <r>
    <s v="Team B"/>
    <s v="Agent_10"/>
    <s v="Friday"/>
    <x v="1"/>
    <s v="3-6 months"/>
    <n v="35"/>
    <n v="6.7"/>
    <n v="7.0000000000000007E-2"/>
    <n v="0.76"/>
    <n v="4.07"/>
    <n v="0"/>
    <n v="25.05"/>
    <s v="Low"/>
  </r>
  <r>
    <s v="Team B"/>
    <s v="Agent_10"/>
    <s v="Friday"/>
    <x v="2"/>
    <s v="0-3 months"/>
    <n v="37"/>
    <n v="5.37"/>
    <n v="0.12"/>
    <n v="0.8"/>
    <n v="4.25"/>
    <n v="1"/>
    <n v="25.06"/>
    <s v="Low"/>
  </r>
  <r>
    <s v="Team C"/>
    <s v="Agent_1"/>
    <s v="Monday"/>
    <x v="0"/>
    <s v="6+ months"/>
    <n v="76"/>
    <n v="3.24"/>
    <n v="0.09"/>
    <n v="0.77"/>
    <n v="4.3"/>
    <n v="0"/>
    <n v="19.86"/>
    <s v="Low"/>
  </r>
  <r>
    <s v="Team C"/>
    <s v="Agent_1"/>
    <s v="Monday"/>
    <x v="1"/>
    <s v="6+ months"/>
    <n v="72"/>
    <n v="7.06"/>
    <n v="0.15"/>
    <n v="0.77"/>
    <n v="3.76"/>
    <n v="0"/>
    <n v="25.59"/>
    <s v="Low"/>
  </r>
  <r>
    <s v="Team C"/>
    <s v="Agent_1"/>
    <s v="Monday"/>
    <x v="2"/>
    <s v="6+ months"/>
    <n v="77"/>
    <n v="5.8"/>
    <n v="0.1"/>
    <n v="0.62"/>
    <n v="4.6500000000000004"/>
    <n v="2"/>
    <n v="27.7"/>
    <s v="High"/>
  </r>
  <r>
    <s v="Team C"/>
    <s v="Agent_1"/>
    <s v="Tuesday"/>
    <x v="0"/>
    <s v="3-6 months"/>
    <n v="45"/>
    <n v="4.84"/>
    <n v="0.15"/>
    <n v="0.82"/>
    <n v="3.66"/>
    <n v="1"/>
    <n v="24.26"/>
    <s v="Low"/>
  </r>
  <r>
    <s v="Team C"/>
    <s v="Agent_1"/>
    <s v="Tuesday"/>
    <x v="1"/>
    <s v="3-6 months"/>
    <n v="57"/>
    <n v="5.81"/>
    <n v="0.04"/>
    <n v="0.75"/>
    <n v="4.2300000000000004"/>
    <n v="0"/>
    <n v="23.72"/>
    <s v="Low"/>
  </r>
  <r>
    <s v="Team C"/>
    <s v="Agent_1"/>
    <s v="Tuesday"/>
    <x v="2"/>
    <s v="6+ months"/>
    <n v="63"/>
    <n v="6.99"/>
    <n v="0.05"/>
    <n v="0.69"/>
    <n v="4.7699999999999996"/>
    <n v="0"/>
    <n v="25.48"/>
    <s v="Low"/>
  </r>
  <r>
    <s v="Team C"/>
    <s v="Agent_1"/>
    <s v="Wednesday"/>
    <x v="0"/>
    <s v="0-3 months"/>
    <n v="67"/>
    <n v="7.81"/>
    <n v="0.13"/>
    <n v="0.82"/>
    <n v="4.57"/>
    <n v="0"/>
    <n v="26.72"/>
    <s v="Low"/>
  </r>
  <r>
    <s v="Team C"/>
    <s v="Agent_1"/>
    <s v="Wednesday"/>
    <x v="1"/>
    <s v="3-6 months"/>
    <n v="63"/>
    <n v="6.35"/>
    <n v="0.13"/>
    <n v="0.88"/>
    <n v="4.18"/>
    <n v="0"/>
    <n v="24.52"/>
    <s v="Low"/>
  </r>
  <r>
    <s v="Team C"/>
    <s v="Agent_1"/>
    <s v="Wednesday"/>
    <x v="2"/>
    <s v="0-3 months"/>
    <n v="55"/>
    <n v="5.76"/>
    <n v="0.09"/>
    <n v="0.69"/>
    <n v="4.09"/>
    <n v="1"/>
    <n v="25.64"/>
    <s v="Low"/>
  </r>
  <r>
    <s v="Team C"/>
    <s v="Agent_1"/>
    <s v="Thursday"/>
    <x v="0"/>
    <s v="3-6 months"/>
    <n v="77"/>
    <n v="5.63"/>
    <n v="0.1"/>
    <n v="0.86"/>
    <n v="4.55"/>
    <n v="2"/>
    <n v="27.44"/>
    <s v="Low"/>
  </r>
  <r>
    <s v="Team C"/>
    <s v="Agent_1"/>
    <s v="Thursday"/>
    <x v="1"/>
    <s v="0-3 months"/>
    <n v="62"/>
    <n v="6.37"/>
    <n v="0.13"/>
    <n v="0.85"/>
    <n v="3.59"/>
    <n v="0"/>
    <n v="24.56"/>
    <s v="Low"/>
  </r>
  <r>
    <s v="Team C"/>
    <s v="Agent_1"/>
    <s v="Thursday"/>
    <x v="2"/>
    <s v="6+ months"/>
    <n v="30"/>
    <n v="5.21"/>
    <n v="0.13"/>
    <n v="0.67"/>
    <n v="4.34"/>
    <n v="1"/>
    <n v="24.82"/>
    <s v="Low"/>
  </r>
  <r>
    <s v="Team C"/>
    <s v="Agent_1"/>
    <s v="Friday"/>
    <x v="0"/>
    <s v="3-6 months"/>
    <n v="67"/>
    <n v="5.41"/>
    <n v="0.12"/>
    <n v="0.81"/>
    <n v="4.49"/>
    <n v="2"/>
    <n v="27.12"/>
    <s v="Low"/>
  </r>
  <r>
    <s v="Team C"/>
    <s v="Agent_1"/>
    <s v="Friday"/>
    <x v="1"/>
    <s v="0-3 months"/>
    <n v="38"/>
    <n v="5.81"/>
    <n v="0.25"/>
    <n v="0.85"/>
    <n v="3.84"/>
    <n v="2"/>
    <n v="27.72"/>
    <s v="High"/>
  </r>
  <r>
    <s v="Team C"/>
    <s v="Agent_1"/>
    <s v="Friday"/>
    <x v="2"/>
    <s v="3-6 months"/>
    <n v="52"/>
    <n v="5.62"/>
    <n v="7.0000000000000007E-2"/>
    <n v="0.66"/>
    <n v="4"/>
    <n v="0"/>
    <n v="23.43"/>
    <s v="Low"/>
  </r>
  <r>
    <s v="Team C"/>
    <s v="Agent_2"/>
    <s v="Monday"/>
    <x v="0"/>
    <s v="3-6 months"/>
    <n v="43"/>
    <n v="4.8600000000000003"/>
    <n v="0.08"/>
    <n v="0.75"/>
    <n v="4.05"/>
    <n v="0"/>
    <n v="22.29"/>
    <s v="Low"/>
  </r>
  <r>
    <s v="Team C"/>
    <s v="Agent_2"/>
    <s v="Monday"/>
    <x v="1"/>
    <s v="6+ months"/>
    <n v="51"/>
    <n v="5.56"/>
    <n v="0.14000000000000001"/>
    <n v="0.86"/>
    <n v="4.55"/>
    <n v="0"/>
    <n v="23.34"/>
    <s v="Low"/>
  </r>
  <r>
    <s v="Team C"/>
    <s v="Agent_2"/>
    <s v="Monday"/>
    <x v="2"/>
    <s v="6+ months"/>
    <n v="38"/>
    <n v="6.75"/>
    <n v="0.06"/>
    <n v="0.81"/>
    <n v="3.87"/>
    <n v="2"/>
    <n v="29.12"/>
    <s v="High"/>
  </r>
  <r>
    <s v="Team C"/>
    <s v="Agent_2"/>
    <s v="Tuesday"/>
    <x v="0"/>
    <s v="0-3 months"/>
    <n v="67"/>
    <n v="4.3"/>
    <n v="0.26"/>
    <n v="0.76"/>
    <n v="3.79"/>
    <n v="1"/>
    <n v="23.45"/>
    <s v="Low"/>
  </r>
  <r>
    <s v="Team C"/>
    <s v="Agent_2"/>
    <s v="Tuesday"/>
    <x v="1"/>
    <s v="3-6 months"/>
    <n v="33"/>
    <n v="6.53"/>
    <n v="0.13"/>
    <n v="0.88"/>
    <n v="3.93"/>
    <n v="0"/>
    <n v="24.8"/>
    <s v="Low"/>
  </r>
  <r>
    <s v="Team C"/>
    <s v="Agent_2"/>
    <s v="Tuesday"/>
    <x v="2"/>
    <s v="6+ months"/>
    <n v="45"/>
    <n v="6.73"/>
    <n v="0.02"/>
    <n v="0.75"/>
    <n v="4.79"/>
    <n v="2"/>
    <n v="29.1"/>
    <s v="High"/>
  </r>
  <r>
    <s v="Team C"/>
    <s v="Agent_2"/>
    <s v="Wednesday"/>
    <x v="0"/>
    <s v="3-6 months"/>
    <n v="34"/>
    <n v="5.35"/>
    <n v="0.05"/>
    <n v="0.78"/>
    <n v="4.13"/>
    <n v="1"/>
    <n v="25.02"/>
    <s v="Low"/>
  </r>
  <r>
    <s v="Team C"/>
    <s v="Agent_2"/>
    <s v="Wednesday"/>
    <x v="1"/>
    <s v="3-6 months"/>
    <n v="38"/>
    <n v="6.98"/>
    <n v="0.13"/>
    <n v="0.84"/>
    <n v="4.17"/>
    <n v="0"/>
    <n v="25.47"/>
    <s v="Low"/>
  </r>
  <r>
    <s v="Team C"/>
    <s v="Agent_2"/>
    <s v="Wednesday"/>
    <x v="2"/>
    <s v="3-6 months"/>
    <n v="41"/>
    <n v="6.5"/>
    <n v="0.08"/>
    <n v="0.63"/>
    <n v="3.94"/>
    <n v="0"/>
    <n v="24.75"/>
    <s v="Low"/>
  </r>
  <r>
    <s v="Team C"/>
    <s v="Agent_2"/>
    <s v="Thursday"/>
    <x v="0"/>
    <s v="0-3 months"/>
    <n v="50"/>
    <n v="7.22"/>
    <n v="0.23"/>
    <n v="0.79"/>
    <n v="4.17"/>
    <n v="0"/>
    <n v="25.83"/>
    <s v="Low"/>
  </r>
  <r>
    <s v="Team C"/>
    <s v="Agent_2"/>
    <s v="Thursday"/>
    <x v="1"/>
    <s v="3-6 months"/>
    <n v="74"/>
    <n v="7.75"/>
    <n v="0.15"/>
    <n v="0.79"/>
    <n v="3.85"/>
    <n v="0"/>
    <n v="26.62"/>
    <s v="Low"/>
  </r>
  <r>
    <s v="Team C"/>
    <s v="Agent_2"/>
    <s v="Thursday"/>
    <x v="2"/>
    <s v="6+ months"/>
    <n v="37"/>
    <n v="5.38"/>
    <n v="0.05"/>
    <n v="0.69"/>
    <n v="4.1100000000000003"/>
    <n v="0"/>
    <n v="23.07"/>
    <s v="Low"/>
  </r>
  <r>
    <s v="Team C"/>
    <s v="Agent_2"/>
    <s v="Friday"/>
    <x v="0"/>
    <s v="0-3 months"/>
    <n v="71"/>
    <n v="6.19"/>
    <n v="0.28999999999999998"/>
    <n v="0.8"/>
    <n v="4.13"/>
    <n v="0"/>
    <n v="24.28"/>
    <s v="Low"/>
  </r>
  <r>
    <s v="Team C"/>
    <s v="Agent_2"/>
    <s v="Friday"/>
    <x v="1"/>
    <s v="3-6 months"/>
    <n v="74"/>
    <n v="8.48"/>
    <n v="0.09"/>
    <n v="0.88"/>
    <n v="3.56"/>
    <n v="2"/>
    <n v="31.72"/>
    <s v="High"/>
  </r>
  <r>
    <s v="Team C"/>
    <s v="Agent_2"/>
    <s v="Friday"/>
    <x v="2"/>
    <s v="6+ months"/>
    <n v="62"/>
    <n v="5.3"/>
    <n v="0.06"/>
    <n v="0.8"/>
    <n v="4.24"/>
    <n v="0"/>
    <n v="22.95"/>
    <s v="Low"/>
  </r>
  <r>
    <s v="Team C"/>
    <s v="Agent_3"/>
    <s v="Monday"/>
    <x v="0"/>
    <s v="0-3 months"/>
    <n v="70"/>
    <n v="5.22"/>
    <n v="0.2"/>
    <n v="0.77"/>
    <n v="3.95"/>
    <n v="0"/>
    <n v="22.83"/>
    <s v="Low"/>
  </r>
  <r>
    <s v="Team C"/>
    <s v="Agent_3"/>
    <s v="Monday"/>
    <x v="1"/>
    <s v="6+ months"/>
    <n v="42"/>
    <n v="5.81"/>
    <n v="0.11"/>
    <n v="0.76"/>
    <n v="4.09"/>
    <n v="2"/>
    <n v="27.72"/>
    <s v="High"/>
  </r>
  <r>
    <s v="Team C"/>
    <s v="Agent_3"/>
    <s v="Monday"/>
    <x v="2"/>
    <s v="0-3 months"/>
    <n v="69"/>
    <n v="4.2"/>
    <n v="0.28000000000000003"/>
    <n v="0.78"/>
    <n v="4.29"/>
    <n v="0"/>
    <n v="21.3"/>
    <s v="Low"/>
  </r>
  <r>
    <s v="Team C"/>
    <s v="Agent_3"/>
    <s v="Tuesday"/>
    <x v="0"/>
    <s v="6+ months"/>
    <n v="68"/>
    <n v="4.42"/>
    <n v="0.14000000000000001"/>
    <n v="0.86"/>
    <n v="4.62"/>
    <n v="0"/>
    <n v="21.63"/>
    <s v="Low"/>
  </r>
  <r>
    <s v="Team C"/>
    <s v="Agent_3"/>
    <s v="Tuesday"/>
    <x v="1"/>
    <s v="6+ months"/>
    <n v="76"/>
    <n v="6.14"/>
    <n v="0.11"/>
    <n v="0.77"/>
    <n v="4"/>
    <n v="0"/>
    <n v="24.21"/>
    <s v="Low"/>
  </r>
  <r>
    <s v="Team C"/>
    <s v="Agent_3"/>
    <s v="Tuesday"/>
    <x v="2"/>
    <s v="3-6 months"/>
    <n v="48"/>
    <n v="5.39"/>
    <n v="0.1"/>
    <n v="0.74"/>
    <n v="4.67"/>
    <n v="0"/>
    <n v="23.08"/>
    <s v="Low"/>
  </r>
  <r>
    <s v="Team C"/>
    <s v="Agent_3"/>
    <s v="Wednesday"/>
    <x v="0"/>
    <s v="3-6 months"/>
    <n v="70"/>
    <n v="6.17"/>
    <n v="0.11"/>
    <n v="0.8"/>
    <n v="4.2699999999999996"/>
    <n v="0"/>
    <n v="24.26"/>
    <s v="Low"/>
  </r>
  <r>
    <s v="Team C"/>
    <s v="Agent_3"/>
    <s v="Wednesday"/>
    <x v="1"/>
    <s v="3-6 months"/>
    <n v="38"/>
    <n v="6.44"/>
    <n v="0.1"/>
    <n v="0.88"/>
    <n v="4.4400000000000004"/>
    <n v="0"/>
    <n v="24.66"/>
    <s v="Low"/>
  </r>
  <r>
    <s v="Team C"/>
    <s v="Agent_3"/>
    <s v="Wednesday"/>
    <x v="2"/>
    <s v="6+ months"/>
    <n v="67"/>
    <n v="6.56"/>
    <n v="0.09"/>
    <n v="0.71"/>
    <n v="3.61"/>
    <n v="0"/>
    <n v="24.84"/>
    <s v="Low"/>
  </r>
  <r>
    <s v="Team C"/>
    <s v="Agent_3"/>
    <s v="Thursday"/>
    <x v="0"/>
    <s v="6+ months"/>
    <n v="78"/>
    <n v="6.92"/>
    <n v="0.05"/>
    <n v="0.82"/>
    <n v="4.5599999999999996"/>
    <n v="0"/>
    <n v="25.38"/>
    <s v="Low"/>
  </r>
  <r>
    <s v="Team C"/>
    <s v="Agent_3"/>
    <s v="Thursday"/>
    <x v="1"/>
    <s v="3-6 months"/>
    <n v="72"/>
    <n v="7.84"/>
    <n v="0.06"/>
    <n v="0.8"/>
    <n v="4.53"/>
    <n v="0"/>
    <n v="26.76"/>
    <s v="Low"/>
  </r>
  <r>
    <s v="Team C"/>
    <s v="Agent_3"/>
    <s v="Thursday"/>
    <x v="2"/>
    <s v="6+ months"/>
    <n v="32"/>
    <n v="5.25"/>
    <n v="0.08"/>
    <n v="0.74"/>
    <n v="4.49"/>
    <n v="0"/>
    <n v="22.88"/>
    <s v="Low"/>
  </r>
  <r>
    <s v="Team C"/>
    <s v="Agent_3"/>
    <s v="Friday"/>
    <x v="0"/>
    <s v="6+ months"/>
    <n v="61"/>
    <n v="7.3"/>
    <n v="0.11"/>
    <n v="0.85"/>
    <n v="3.99"/>
    <n v="0"/>
    <n v="25.95"/>
    <s v="Low"/>
  </r>
  <r>
    <s v="Team C"/>
    <s v="Agent_3"/>
    <s v="Friday"/>
    <x v="1"/>
    <s v="3-6 months"/>
    <n v="33"/>
    <n v="4.34"/>
    <n v="0.03"/>
    <n v="0.86"/>
    <n v="4.7300000000000004"/>
    <n v="0"/>
    <n v="21.51"/>
    <s v="Low"/>
  </r>
  <r>
    <s v="Team C"/>
    <s v="Agent_3"/>
    <s v="Friday"/>
    <x v="2"/>
    <s v="3-6 months"/>
    <n v="47"/>
    <n v="4.59"/>
    <n v="0.03"/>
    <n v="0.7"/>
    <n v="3.9"/>
    <n v="1"/>
    <n v="23.88"/>
    <s v="Low"/>
  </r>
  <r>
    <s v="Team C"/>
    <s v="Agent_4"/>
    <s v="Monday"/>
    <x v="0"/>
    <s v="3-6 months"/>
    <n v="63"/>
    <n v="7.21"/>
    <n v="0.13"/>
    <n v="0.84"/>
    <n v="4.2300000000000004"/>
    <n v="0"/>
    <n v="25.82"/>
    <s v="Low"/>
  </r>
  <r>
    <s v="Team C"/>
    <s v="Agent_4"/>
    <s v="Monday"/>
    <x v="1"/>
    <s v="0-3 months"/>
    <n v="79"/>
    <n v="5.53"/>
    <n v="0.18"/>
    <n v="0.89"/>
    <n v="4"/>
    <n v="0"/>
    <n v="23.3"/>
    <s v="Low"/>
  </r>
  <r>
    <s v="Team C"/>
    <s v="Agent_4"/>
    <s v="Monday"/>
    <x v="2"/>
    <s v="0-3 months"/>
    <n v="56"/>
    <n v="5.99"/>
    <n v="0.09"/>
    <n v="0.61"/>
    <n v="4.4800000000000004"/>
    <n v="0"/>
    <n v="23.98"/>
    <s v="Low"/>
  </r>
  <r>
    <s v="Team C"/>
    <s v="Agent_4"/>
    <s v="Tuesday"/>
    <x v="0"/>
    <s v="0-3 months"/>
    <n v="66"/>
    <n v="5.59"/>
    <n v="0.14000000000000001"/>
    <n v="0.82"/>
    <n v="4.08"/>
    <n v="3"/>
    <n v="29.38"/>
    <s v="High"/>
  </r>
  <r>
    <s v="Team C"/>
    <s v="Agent_4"/>
    <s v="Tuesday"/>
    <x v="1"/>
    <s v="3-6 months"/>
    <n v="58"/>
    <n v="7.07"/>
    <n v="0.06"/>
    <n v="0.89"/>
    <n v="4.01"/>
    <n v="0"/>
    <n v="25.6"/>
    <s v="Low"/>
  </r>
  <r>
    <s v="Team C"/>
    <s v="Agent_4"/>
    <s v="Tuesday"/>
    <x v="2"/>
    <s v="3-6 months"/>
    <n v="33"/>
    <n v="5.98"/>
    <n v="0.09"/>
    <n v="0.64"/>
    <n v="3.82"/>
    <n v="2"/>
    <n v="27.97"/>
    <s v="High"/>
  </r>
  <r>
    <s v="Team C"/>
    <s v="Agent_4"/>
    <s v="Wednesday"/>
    <x v="0"/>
    <s v="3-6 months"/>
    <n v="63"/>
    <n v="6.4"/>
    <n v="0.05"/>
    <n v="0.78"/>
    <n v="3.57"/>
    <n v="0"/>
    <n v="24.6"/>
    <s v="Low"/>
  </r>
  <r>
    <s v="Team C"/>
    <s v="Agent_4"/>
    <s v="Wednesday"/>
    <x v="1"/>
    <s v="0-3 months"/>
    <n v="73"/>
    <n v="6.17"/>
    <n v="0.09"/>
    <n v="0.84"/>
    <n v="4.8"/>
    <n v="0"/>
    <n v="24.26"/>
    <s v="Low"/>
  </r>
  <r>
    <s v="Team C"/>
    <s v="Agent_4"/>
    <s v="Wednesday"/>
    <x v="2"/>
    <s v="6+ months"/>
    <n v="65"/>
    <n v="7.26"/>
    <n v="7.0000000000000007E-2"/>
    <n v="0.85"/>
    <n v="4.6399999999999997"/>
    <n v="1"/>
    <n v="27.89"/>
    <s v="High"/>
  </r>
  <r>
    <s v="Team C"/>
    <s v="Agent_4"/>
    <s v="Thursday"/>
    <x v="0"/>
    <s v="3-6 months"/>
    <n v="48"/>
    <n v="5.55"/>
    <n v="0.03"/>
    <n v="0.82"/>
    <n v="4.21"/>
    <n v="0"/>
    <n v="23.32"/>
    <s v="Low"/>
  </r>
  <r>
    <s v="Team C"/>
    <s v="Agent_4"/>
    <s v="Thursday"/>
    <x v="1"/>
    <s v="6+ months"/>
    <n v="63"/>
    <n v="4.72"/>
    <n v="0.11"/>
    <n v="0.83"/>
    <n v="4.63"/>
    <n v="0"/>
    <n v="22.08"/>
    <s v="Low"/>
  </r>
  <r>
    <s v="Team C"/>
    <s v="Agent_4"/>
    <s v="Thursday"/>
    <x v="2"/>
    <s v="6+ months"/>
    <n v="57"/>
    <n v="6.16"/>
    <n v="0.08"/>
    <n v="0.61"/>
    <n v="4.76"/>
    <n v="2"/>
    <n v="28.24"/>
    <s v="High"/>
  </r>
  <r>
    <s v="Team C"/>
    <s v="Agent_4"/>
    <s v="Friday"/>
    <x v="0"/>
    <s v="3-6 months"/>
    <n v="73"/>
    <n v="5.61"/>
    <n v="0.08"/>
    <n v="0.88"/>
    <n v="4.2699999999999996"/>
    <n v="0"/>
    <n v="23.42"/>
    <s v="Low"/>
  </r>
  <r>
    <s v="Team C"/>
    <s v="Agent_4"/>
    <s v="Friday"/>
    <x v="1"/>
    <s v="0-3 months"/>
    <n v="62"/>
    <n v="4.1900000000000004"/>
    <n v="0.2"/>
    <n v="0.89"/>
    <n v="3.97"/>
    <n v="1"/>
    <n v="23.28"/>
    <s v="Low"/>
  </r>
  <r>
    <s v="Team C"/>
    <s v="Agent_4"/>
    <s v="Friday"/>
    <x v="2"/>
    <s v="6+ months"/>
    <n v="56"/>
    <n v="7.94"/>
    <n v="7.0000000000000007E-2"/>
    <n v="0.81"/>
    <n v="4.49"/>
    <n v="0"/>
    <n v="26.91"/>
    <s v="Low"/>
  </r>
  <r>
    <s v="Team C"/>
    <s v="Agent_5"/>
    <s v="Monday"/>
    <x v="0"/>
    <s v="6+ months"/>
    <n v="77"/>
    <n v="4.9800000000000004"/>
    <n v="0.06"/>
    <n v="0.79"/>
    <n v="3.54"/>
    <n v="3"/>
    <n v="28.47"/>
    <s v="High"/>
  </r>
  <r>
    <s v="Team C"/>
    <s v="Agent_5"/>
    <s v="Monday"/>
    <x v="1"/>
    <s v="0-3 months"/>
    <n v="45"/>
    <n v="5.21"/>
    <n v="0.24"/>
    <n v="0.89"/>
    <n v="3.54"/>
    <n v="2"/>
    <n v="26.82"/>
    <s v="Low"/>
  </r>
  <r>
    <s v="Team C"/>
    <s v="Agent_5"/>
    <s v="Monday"/>
    <x v="2"/>
    <s v="3-6 months"/>
    <n v="50"/>
    <n v="7.15"/>
    <n v="0.06"/>
    <n v="0.65"/>
    <n v="4.74"/>
    <n v="0"/>
    <n v="25.72"/>
    <s v="Low"/>
  </r>
  <r>
    <s v="Team C"/>
    <s v="Agent_5"/>
    <s v="Tuesday"/>
    <x v="0"/>
    <s v="6+ months"/>
    <n v="37"/>
    <n v="5.47"/>
    <n v="0.15"/>
    <n v="0.76"/>
    <n v="3.5"/>
    <n v="0"/>
    <n v="23.2"/>
    <s v="Low"/>
  </r>
  <r>
    <s v="Team C"/>
    <s v="Agent_5"/>
    <s v="Tuesday"/>
    <x v="1"/>
    <s v="3-6 months"/>
    <n v="66"/>
    <n v="5.36"/>
    <n v="0.12"/>
    <n v="0.87"/>
    <n v="4.3600000000000003"/>
    <n v="1"/>
    <n v="25.04"/>
    <s v="Low"/>
  </r>
  <r>
    <s v="Team C"/>
    <s v="Agent_5"/>
    <s v="Tuesday"/>
    <x v="2"/>
    <s v="6+ months"/>
    <n v="31"/>
    <n v="6.43"/>
    <n v="0.03"/>
    <n v="0.7"/>
    <n v="4.4400000000000004"/>
    <n v="0"/>
    <n v="24.64"/>
    <s v="Low"/>
  </r>
  <r>
    <s v="Team C"/>
    <s v="Agent_5"/>
    <s v="Wednesday"/>
    <x v="0"/>
    <s v="3-6 months"/>
    <n v="60"/>
    <n v="5.81"/>
    <n v="0.03"/>
    <n v="0.87"/>
    <n v="4.7300000000000004"/>
    <n v="0"/>
    <n v="23.72"/>
    <s v="Low"/>
  </r>
  <r>
    <s v="Team C"/>
    <s v="Agent_5"/>
    <s v="Wednesday"/>
    <x v="1"/>
    <s v="6+ months"/>
    <n v="67"/>
    <n v="5.45"/>
    <n v="0.06"/>
    <n v="0.76"/>
    <n v="4.1500000000000004"/>
    <n v="1"/>
    <n v="25.18"/>
    <s v="Low"/>
  </r>
  <r>
    <s v="Team C"/>
    <s v="Agent_5"/>
    <s v="Wednesday"/>
    <x v="2"/>
    <s v="6+ months"/>
    <n v="31"/>
    <n v="5.84"/>
    <n v="0.06"/>
    <n v="0.66"/>
    <n v="3.87"/>
    <n v="2"/>
    <n v="27.76"/>
    <s v="High"/>
  </r>
  <r>
    <s v="Team C"/>
    <s v="Agent_5"/>
    <s v="Thursday"/>
    <x v="0"/>
    <s v="6+ months"/>
    <n v="56"/>
    <n v="5.29"/>
    <n v="0.02"/>
    <n v="0.84"/>
    <n v="4.59"/>
    <n v="0"/>
    <n v="22.94"/>
    <s v="Low"/>
  </r>
  <r>
    <s v="Team C"/>
    <s v="Agent_5"/>
    <s v="Thursday"/>
    <x v="1"/>
    <s v="0-3 months"/>
    <n v="42"/>
    <n v="4.3499999999999996"/>
    <n v="0.21"/>
    <n v="0.77"/>
    <n v="4.66"/>
    <n v="0"/>
    <n v="21.52"/>
    <s v="Low"/>
  </r>
  <r>
    <s v="Team C"/>
    <s v="Agent_5"/>
    <s v="Thursday"/>
    <x v="2"/>
    <s v="3-6 months"/>
    <n v="39"/>
    <n v="7.2"/>
    <n v="0.13"/>
    <n v="0.74"/>
    <n v="4.33"/>
    <n v="0"/>
    <n v="25.8"/>
    <s v="Low"/>
  </r>
  <r>
    <s v="Team C"/>
    <s v="Agent_5"/>
    <s v="Friday"/>
    <x v="0"/>
    <s v="3-6 months"/>
    <n v="75"/>
    <n v="6.48"/>
    <n v="0.09"/>
    <n v="0.83"/>
    <n v="3.69"/>
    <n v="1"/>
    <n v="26.72"/>
    <s v="Low"/>
  </r>
  <r>
    <s v="Team C"/>
    <s v="Agent_5"/>
    <s v="Friday"/>
    <x v="1"/>
    <s v="0-3 months"/>
    <n v="60"/>
    <n v="6.51"/>
    <n v="0.12"/>
    <n v="0.77"/>
    <n v="4.32"/>
    <n v="0"/>
    <n v="24.76"/>
    <s v="Low"/>
  </r>
  <r>
    <s v="Team C"/>
    <s v="Agent_5"/>
    <s v="Friday"/>
    <x v="2"/>
    <s v="6+ months"/>
    <n v="44"/>
    <n v="6.71"/>
    <n v="0.1"/>
    <n v="0.82"/>
    <n v="4.26"/>
    <n v="0"/>
    <n v="25.06"/>
    <s v="Low"/>
  </r>
  <r>
    <s v="Team C"/>
    <s v="Agent_6"/>
    <s v="Monday"/>
    <x v="0"/>
    <s v="3-6 months"/>
    <n v="73"/>
    <n v="6.93"/>
    <n v="0.12"/>
    <n v="0.8"/>
    <n v="3.63"/>
    <n v="0"/>
    <n v="25.4"/>
    <s v="Low"/>
  </r>
  <r>
    <s v="Team C"/>
    <s v="Agent_6"/>
    <s v="Monday"/>
    <x v="1"/>
    <s v="0-3 months"/>
    <n v="56"/>
    <n v="6.21"/>
    <n v="0.28000000000000003"/>
    <n v="0.89"/>
    <n v="4.05"/>
    <n v="0"/>
    <n v="24.32"/>
    <s v="Low"/>
  </r>
  <r>
    <s v="Team C"/>
    <s v="Agent_6"/>
    <s v="Monday"/>
    <x v="2"/>
    <s v="6+ months"/>
    <n v="66"/>
    <n v="7.06"/>
    <n v="0.04"/>
    <n v="0.61"/>
    <n v="4.2300000000000004"/>
    <n v="2"/>
    <n v="29.59"/>
    <s v="High"/>
  </r>
  <r>
    <s v="Team C"/>
    <s v="Agent_6"/>
    <s v="Tuesday"/>
    <x v="0"/>
    <s v="6+ months"/>
    <n v="39"/>
    <n v="5.59"/>
    <n v="0.13"/>
    <n v="0.78"/>
    <n v="3.86"/>
    <n v="0"/>
    <n v="23.38"/>
    <s v="Low"/>
  </r>
  <r>
    <s v="Team C"/>
    <s v="Agent_6"/>
    <s v="Tuesday"/>
    <x v="1"/>
    <s v="3-6 months"/>
    <n v="54"/>
    <n v="5.39"/>
    <n v="0.06"/>
    <n v="0.77"/>
    <n v="4.5199999999999996"/>
    <n v="1"/>
    <n v="25.08"/>
    <s v="Low"/>
  </r>
  <r>
    <s v="Team C"/>
    <s v="Agent_6"/>
    <s v="Tuesday"/>
    <x v="2"/>
    <s v="0-3 months"/>
    <n v="66"/>
    <n v="3.57"/>
    <n v="0.27"/>
    <n v="0.72"/>
    <n v="3.64"/>
    <n v="1"/>
    <n v="22.36"/>
    <s v="Low"/>
  </r>
  <r>
    <s v="Team C"/>
    <s v="Agent_6"/>
    <s v="Wednesday"/>
    <x v="0"/>
    <s v="6+ months"/>
    <n v="70"/>
    <n v="5.97"/>
    <n v="0.03"/>
    <n v="0.87"/>
    <n v="4.04"/>
    <n v="2"/>
    <n v="27.96"/>
    <s v="High"/>
  </r>
  <r>
    <s v="Team C"/>
    <s v="Agent_6"/>
    <s v="Wednesday"/>
    <x v="1"/>
    <s v="6+ months"/>
    <n v="45"/>
    <n v="6.93"/>
    <n v="0.11"/>
    <n v="0.85"/>
    <n v="4.54"/>
    <n v="1"/>
    <n v="27.4"/>
    <s v="Low"/>
  </r>
  <r>
    <s v="Team C"/>
    <s v="Agent_6"/>
    <s v="Wednesday"/>
    <x v="2"/>
    <s v="0-3 months"/>
    <n v="38"/>
    <n v="5.67"/>
    <n v="0.08"/>
    <n v="0.76"/>
    <n v="4.46"/>
    <n v="0"/>
    <n v="23.5"/>
    <s v="Low"/>
  </r>
  <r>
    <s v="Team C"/>
    <s v="Agent_6"/>
    <s v="Thursday"/>
    <x v="0"/>
    <s v="3-6 months"/>
    <n v="50"/>
    <n v="5.66"/>
    <n v="0.1"/>
    <n v="0.76"/>
    <n v="3.56"/>
    <n v="1"/>
    <n v="25.49"/>
    <s v="Low"/>
  </r>
  <r>
    <s v="Team C"/>
    <s v="Agent_6"/>
    <s v="Thursday"/>
    <x v="1"/>
    <s v="6+ months"/>
    <n v="39"/>
    <n v="7.96"/>
    <n v="0.09"/>
    <n v="0.76"/>
    <n v="4.3899999999999997"/>
    <n v="0"/>
    <n v="26.94"/>
    <s v="Low"/>
  </r>
  <r>
    <s v="Team C"/>
    <s v="Agent_6"/>
    <s v="Thursday"/>
    <x v="2"/>
    <s v="6+ months"/>
    <n v="31"/>
    <n v="5.78"/>
    <n v="7.0000000000000007E-2"/>
    <n v="0.73"/>
    <n v="4.2699999999999996"/>
    <n v="0"/>
    <n v="23.67"/>
    <s v="Low"/>
  </r>
  <r>
    <s v="Team C"/>
    <s v="Agent_6"/>
    <s v="Friday"/>
    <x v="0"/>
    <s v="3-6 months"/>
    <n v="65"/>
    <n v="3.36"/>
    <n v="0.03"/>
    <n v="0.81"/>
    <n v="4.49"/>
    <n v="0"/>
    <n v="20.04"/>
    <s v="Low"/>
  </r>
  <r>
    <s v="Team C"/>
    <s v="Agent_6"/>
    <s v="Friday"/>
    <x v="1"/>
    <s v="0-3 months"/>
    <n v="46"/>
    <n v="6.44"/>
    <n v="0.08"/>
    <n v="0.75"/>
    <n v="4.5"/>
    <n v="2"/>
    <n v="28.66"/>
    <s v="High"/>
  </r>
  <r>
    <s v="Team C"/>
    <s v="Agent_6"/>
    <s v="Friday"/>
    <x v="2"/>
    <s v="0-3 months"/>
    <n v="35"/>
    <n v="6.02"/>
    <n v="0.16"/>
    <n v="0.68"/>
    <n v="3.94"/>
    <n v="1"/>
    <n v="26.03"/>
    <s v="Low"/>
  </r>
  <r>
    <s v="Team C"/>
    <s v="Agent_7"/>
    <s v="Monday"/>
    <x v="0"/>
    <s v="0-3 months"/>
    <n v="41"/>
    <n v="6.16"/>
    <n v="0.26"/>
    <n v="0.75"/>
    <n v="4.67"/>
    <n v="1"/>
    <n v="26.24"/>
    <s v="Low"/>
  </r>
  <r>
    <s v="Team C"/>
    <s v="Agent_7"/>
    <s v="Monday"/>
    <x v="1"/>
    <s v="6+ months"/>
    <n v="37"/>
    <n v="6.05"/>
    <n v="0.05"/>
    <n v="0.77"/>
    <n v="4.67"/>
    <n v="1"/>
    <n v="26.08"/>
    <s v="Low"/>
  </r>
  <r>
    <s v="Team C"/>
    <s v="Agent_7"/>
    <s v="Monday"/>
    <x v="2"/>
    <s v="6+ months"/>
    <n v="63"/>
    <n v="7.67"/>
    <n v="0.08"/>
    <n v="0.61"/>
    <n v="4.75"/>
    <n v="2"/>
    <n v="30.5"/>
    <s v="High"/>
  </r>
  <r>
    <s v="Team C"/>
    <s v="Agent_7"/>
    <s v="Tuesday"/>
    <x v="0"/>
    <s v="6+ months"/>
    <n v="61"/>
    <n v="5.89"/>
    <n v="0.1"/>
    <n v="0.85"/>
    <n v="4.2300000000000004"/>
    <n v="1"/>
    <n v="25.84"/>
    <s v="Low"/>
  </r>
  <r>
    <s v="Team C"/>
    <s v="Agent_7"/>
    <s v="Tuesday"/>
    <x v="1"/>
    <s v="0-3 months"/>
    <n v="55"/>
    <n v="5.62"/>
    <n v="0.21"/>
    <n v="0.87"/>
    <n v="4.25"/>
    <n v="0"/>
    <n v="23.43"/>
    <s v="Low"/>
  </r>
  <r>
    <s v="Team C"/>
    <s v="Agent_7"/>
    <s v="Tuesday"/>
    <x v="2"/>
    <s v="6+ months"/>
    <n v="69"/>
    <n v="5.68"/>
    <n v="0.14000000000000001"/>
    <n v="0.64"/>
    <n v="4.34"/>
    <n v="2"/>
    <n v="27.52"/>
    <s v="Low"/>
  </r>
  <r>
    <s v="Team C"/>
    <s v="Agent_7"/>
    <s v="Wednesday"/>
    <x v="0"/>
    <s v="6+ months"/>
    <n v="67"/>
    <n v="5.74"/>
    <n v="0.14000000000000001"/>
    <n v="0.86"/>
    <n v="3.58"/>
    <n v="0"/>
    <n v="23.61"/>
    <s v="Low"/>
  </r>
  <r>
    <s v="Team C"/>
    <s v="Agent_7"/>
    <s v="Wednesday"/>
    <x v="1"/>
    <s v="0-3 months"/>
    <n v="70"/>
    <n v="4.16"/>
    <n v="0.16"/>
    <n v="0.77"/>
    <n v="4.75"/>
    <n v="0"/>
    <n v="21.24"/>
    <s v="Low"/>
  </r>
  <r>
    <s v="Team C"/>
    <s v="Agent_7"/>
    <s v="Wednesday"/>
    <x v="2"/>
    <s v="0-3 months"/>
    <n v="50"/>
    <n v="6.11"/>
    <n v="0.28000000000000003"/>
    <n v="0.79"/>
    <n v="4.21"/>
    <n v="0"/>
    <n v="24.16"/>
    <s v="Low"/>
  </r>
  <r>
    <s v="Team C"/>
    <s v="Agent_7"/>
    <s v="Thursday"/>
    <x v="0"/>
    <s v="3-6 months"/>
    <n v="32"/>
    <n v="6.41"/>
    <n v="0.04"/>
    <n v="0.82"/>
    <n v="3.77"/>
    <n v="0"/>
    <n v="24.62"/>
    <s v="Low"/>
  </r>
  <r>
    <s v="Team C"/>
    <s v="Agent_7"/>
    <s v="Thursday"/>
    <x v="1"/>
    <s v="6+ months"/>
    <n v="77"/>
    <n v="6.01"/>
    <n v="7.0000000000000007E-2"/>
    <n v="0.85"/>
    <n v="3.64"/>
    <n v="1"/>
    <n v="26.02"/>
    <s v="Low"/>
  </r>
  <r>
    <s v="Team C"/>
    <s v="Agent_7"/>
    <s v="Thursday"/>
    <x v="2"/>
    <s v="3-6 months"/>
    <n v="55"/>
    <n v="6.18"/>
    <n v="0.09"/>
    <n v="0.65"/>
    <n v="4.0999999999999996"/>
    <n v="2"/>
    <n v="28.27"/>
    <s v="High"/>
  </r>
  <r>
    <s v="Team C"/>
    <s v="Agent_7"/>
    <s v="Friday"/>
    <x v="0"/>
    <s v="0-3 months"/>
    <n v="67"/>
    <n v="6.16"/>
    <n v="0.1"/>
    <n v="0.87"/>
    <n v="4.68"/>
    <n v="2"/>
    <n v="28.24"/>
    <s v="High"/>
  </r>
  <r>
    <s v="Team C"/>
    <s v="Agent_7"/>
    <s v="Friday"/>
    <x v="1"/>
    <s v="6+ months"/>
    <n v="45"/>
    <n v="6.04"/>
    <n v="0.15"/>
    <n v="0.86"/>
    <n v="3.71"/>
    <n v="0"/>
    <n v="24.06"/>
    <s v="Low"/>
  </r>
  <r>
    <s v="Team C"/>
    <s v="Agent_7"/>
    <s v="Friday"/>
    <x v="2"/>
    <s v="6+ months"/>
    <n v="76"/>
    <n v="5.76"/>
    <n v="0.12"/>
    <n v="0.84"/>
    <n v="4.49"/>
    <n v="2"/>
    <n v="27.64"/>
    <s v="Low"/>
  </r>
  <r>
    <s v="Team C"/>
    <s v="Agent_8"/>
    <s v="Monday"/>
    <x v="0"/>
    <s v="3-6 months"/>
    <n v="66"/>
    <n v="4.45"/>
    <n v="0.02"/>
    <n v="0.8"/>
    <n v="4.7"/>
    <n v="0"/>
    <n v="21.68"/>
    <s v="Low"/>
  </r>
  <r>
    <s v="Team C"/>
    <s v="Agent_8"/>
    <s v="Monday"/>
    <x v="1"/>
    <s v="3-6 months"/>
    <n v="53"/>
    <n v="5.51"/>
    <n v="0.09"/>
    <n v="0.87"/>
    <n v="3.83"/>
    <n v="0"/>
    <n v="23.26"/>
    <s v="Low"/>
  </r>
  <r>
    <s v="Team C"/>
    <s v="Agent_8"/>
    <s v="Monday"/>
    <x v="2"/>
    <s v="3-6 months"/>
    <n v="73"/>
    <n v="6.47"/>
    <n v="0.11"/>
    <n v="0.63"/>
    <n v="3.88"/>
    <n v="0"/>
    <n v="24.7"/>
    <s v="Low"/>
  </r>
  <r>
    <s v="Team C"/>
    <s v="Agent_8"/>
    <s v="Tuesday"/>
    <x v="0"/>
    <s v="6+ months"/>
    <n v="30"/>
    <n v="4.66"/>
    <n v="0.12"/>
    <n v="0.89"/>
    <n v="4.74"/>
    <n v="0"/>
    <n v="21.99"/>
    <s v="Low"/>
  </r>
  <r>
    <s v="Team C"/>
    <s v="Agent_8"/>
    <s v="Tuesday"/>
    <x v="1"/>
    <s v="3-6 months"/>
    <n v="47"/>
    <n v="4.4000000000000004"/>
    <n v="0.15"/>
    <n v="0.81"/>
    <n v="4.25"/>
    <n v="0"/>
    <n v="21.6"/>
    <s v="Low"/>
  </r>
  <r>
    <s v="Team C"/>
    <s v="Agent_8"/>
    <s v="Tuesday"/>
    <x v="2"/>
    <s v="6+ months"/>
    <n v="30"/>
    <n v="6.01"/>
    <n v="0.05"/>
    <n v="0.61"/>
    <n v="3.55"/>
    <n v="0"/>
    <n v="24.02"/>
    <s v="Low"/>
  </r>
  <r>
    <s v="Team C"/>
    <s v="Agent_8"/>
    <s v="Wednesday"/>
    <x v="0"/>
    <s v="6+ months"/>
    <n v="74"/>
    <n v="5.05"/>
    <n v="0.05"/>
    <n v="0.81"/>
    <n v="4.43"/>
    <n v="0"/>
    <n v="22.58"/>
    <s v="Low"/>
  </r>
  <r>
    <s v="Team C"/>
    <s v="Agent_8"/>
    <s v="Wednesday"/>
    <x v="1"/>
    <s v="3-6 months"/>
    <n v="41"/>
    <n v="5.19"/>
    <n v="7.0000000000000007E-2"/>
    <n v="0.88"/>
    <n v="4.7300000000000004"/>
    <n v="2"/>
    <n v="26.78"/>
    <s v="Low"/>
  </r>
  <r>
    <s v="Team C"/>
    <s v="Agent_8"/>
    <s v="Wednesday"/>
    <x v="2"/>
    <s v="3-6 months"/>
    <n v="33"/>
    <n v="6.96"/>
    <n v="0.13"/>
    <n v="0.82"/>
    <n v="4.21"/>
    <n v="0"/>
    <n v="25.44"/>
    <s v="Low"/>
  </r>
  <r>
    <s v="Team C"/>
    <s v="Agent_8"/>
    <s v="Thursday"/>
    <x v="0"/>
    <s v="0-3 months"/>
    <n v="77"/>
    <n v="6.89"/>
    <n v="0.1"/>
    <n v="0.76"/>
    <n v="3.59"/>
    <n v="2"/>
    <n v="29.34"/>
    <s v="High"/>
  </r>
  <r>
    <s v="Team C"/>
    <s v="Agent_8"/>
    <s v="Thursday"/>
    <x v="1"/>
    <s v="3-6 months"/>
    <n v="32"/>
    <n v="5.58"/>
    <n v="0.03"/>
    <n v="0.87"/>
    <n v="3.56"/>
    <n v="1"/>
    <n v="25.37"/>
    <s v="Low"/>
  </r>
  <r>
    <s v="Team C"/>
    <s v="Agent_8"/>
    <s v="Thursday"/>
    <x v="2"/>
    <s v="6+ months"/>
    <n v="53"/>
    <n v="5.05"/>
    <n v="0.13"/>
    <n v="0.73"/>
    <n v="3.87"/>
    <n v="0"/>
    <n v="22.58"/>
    <s v="Low"/>
  </r>
  <r>
    <s v="Team C"/>
    <s v="Agent_8"/>
    <s v="Friday"/>
    <x v="0"/>
    <s v="0-3 months"/>
    <n v="70"/>
    <n v="6.42"/>
    <n v="0.05"/>
    <n v="0.81"/>
    <n v="4.18"/>
    <n v="0"/>
    <n v="24.63"/>
    <s v="Low"/>
  </r>
  <r>
    <s v="Team C"/>
    <s v="Agent_8"/>
    <s v="Friday"/>
    <x v="1"/>
    <s v="6+ months"/>
    <n v="36"/>
    <n v="6.99"/>
    <n v="0.03"/>
    <n v="0.78"/>
    <n v="3.9"/>
    <n v="1"/>
    <n v="27.48"/>
    <s v="Low"/>
  </r>
  <r>
    <s v="Team C"/>
    <s v="Agent_8"/>
    <s v="Friday"/>
    <x v="2"/>
    <s v="3-6 months"/>
    <n v="70"/>
    <n v="5.84"/>
    <n v="0.13"/>
    <n v="0.71"/>
    <n v="3.89"/>
    <n v="0"/>
    <n v="23.76"/>
    <s v="Low"/>
  </r>
  <r>
    <s v="Team C"/>
    <s v="Agent_9"/>
    <s v="Monday"/>
    <x v="0"/>
    <s v="6+ months"/>
    <n v="56"/>
    <n v="5.38"/>
    <n v="0.06"/>
    <n v="0.9"/>
    <n v="4.03"/>
    <n v="0"/>
    <n v="23.07"/>
    <s v="Low"/>
  </r>
  <r>
    <s v="Team C"/>
    <s v="Agent_9"/>
    <s v="Monday"/>
    <x v="1"/>
    <s v="6+ months"/>
    <n v="50"/>
    <n v="5.62"/>
    <n v="0.04"/>
    <n v="0.81"/>
    <n v="4.04"/>
    <n v="1"/>
    <n v="25.43"/>
    <s v="Low"/>
  </r>
  <r>
    <s v="Team C"/>
    <s v="Agent_9"/>
    <s v="Monday"/>
    <x v="2"/>
    <s v="0-3 months"/>
    <n v="63"/>
    <n v="6.42"/>
    <n v="0.28999999999999998"/>
    <n v="0.61"/>
    <n v="3.84"/>
    <n v="1"/>
    <n v="26.63"/>
    <s v="Low"/>
  </r>
  <r>
    <s v="Team C"/>
    <s v="Agent_9"/>
    <s v="Tuesday"/>
    <x v="0"/>
    <s v="0-3 months"/>
    <n v="54"/>
    <n v="7.4"/>
    <n v="0.08"/>
    <n v="0.83"/>
    <n v="4.51"/>
    <n v="1"/>
    <n v="28.1"/>
    <s v="High"/>
  </r>
  <r>
    <s v="Team C"/>
    <s v="Agent_9"/>
    <s v="Tuesday"/>
    <x v="1"/>
    <s v="0-3 months"/>
    <n v="46"/>
    <n v="7.08"/>
    <n v="0.17"/>
    <n v="0.89"/>
    <n v="4.4000000000000004"/>
    <n v="1"/>
    <n v="27.62"/>
    <s v="Low"/>
  </r>
  <r>
    <s v="Team C"/>
    <s v="Agent_9"/>
    <s v="Tuesday"/>
    <x v="2"/>
    <s v="6+ months"/>
    <n v="46"/>
    <n v="7"/>
    <n v="0.02"/>
    <n v="0.61"/>
    <n v="3.68"/>
    <n v="0"/>
    <n v="25.5"/>
    <s v="Low"/>
  </r>
  <r>
    <s v="Team C"/>
    <s v="Agent_9"/>
    <s v="Wednesday"/>
    <x v="0"/>
    <s v="3-6 months"/>
    <n v="32"/>
    <n v="6.31"/>
    <n v="0.11"/>
    <n v="0.82"/>
    <n v="4.21"/>
    <n v="0"/>
    <n v="24.46"/>
    <s v="Low"/>
  </r>
  <r>
    <s v="Team C"/>
    <s v="Agent_9"/>
    <s v="Wednesday"/>
    <x v="1"/>
    <s v="3-6 months"/>
    <n v="65"/>
    <n v="5.55"/>
    <n v="0.12"/>
    <n v="0.86"/>
    <n v="4"/>
    <n v="0"/>
    <n v="23.32"/>
    <s v="Low"/>
  </r>
  <r>
    <s v="Team C"/>
    <s v="Agent_9"/>
    <s v="Wednesday"/>
    <x v="2"/>
    <s v="6+ months"/>
    <n v="69"/>
    <n v="6.49"/>
    <n v="0.13"/>
    <n v="0.62"/>
    <n v="4.2300000000000004"/>
    <n v="0"/>
    <n v="24.74"/>
    <s v="Low"/>
  </r>
  <r>
    <s v="Team C"/>
    <s v="Agent_9"/>
    <s v="Thursday"/>
    <x v="0"/>
    <s v="6+ months"/>
    <n v="62"/>
    <n v="7.25"/>
    <n v="0.15"/>
    <n v="0.76"/>
    <n v="4.16"/>
    <n v="1"/>
    <n v="27.88"/>
    <s v="High"/>
  </r>
  <r>
    <s v="Team C"/>
    <s v="Agent_9"/>
    <s v="Thursday"/>
    <x v="1"/>
    <s v="6+ months"/>
    <n v="42"/>
    <n v="6.19"/>
    <n v="0.11"/>
    <n v="0.84"/>
    <n v="3.91"/>
    <n v="2"/>
    <n v="28.28"/>
    <s v="High"/>
  </r>
  <r>
    <s v="Team C"/>
    <s v="Agent_9"/>
    <s v="Thursday"/>
    <x v="2"/>
    <s v="3-6 months"/>
    <n v="37"/>
    <n v="6.23"/>
    <n v="0.05"/>
    <n v="0.76"/>
    <n v="4.24"/>
    <n v="2"/>
    <n v="28.34"/>
    <s v="High"/>
  </r>
  <r>
    <s v="Team C"/>
    <s v="Agent_9"/>
    <s v="Friday"/>
    <x v="0"/>
    <s v="6+ months"/>
    <n v="47"/>
    <n v="5.34"/>
    <n v="0.04"/>
    <n v="0.75"/>
    <n v="4.01"/>
    <n v="0"/>
    <n v="23.01"/>
    <s v="Low"/>
  </r>
  <r>
    <s v="Team C"/>
    <s v="Agent_9"/>
    <s v="Friday"/>
    <x v="1"/>
    <s v="3-6 months"/>
    <n v="35"/>
    <n v="5.5"/>
    <n v="0.06"/>
    <n v="0.86"/>
    <n v="4.03"/>
    <n v="0"/>
    <n v="23.25"/>
    <s v="Low"/>
  </r>
  <r>
    <s v="Team C"/>
    <s v="Agent_9"/>
    <s v="Friday"/>
    <x v="2"/>
    <s v="6+ months"/>
    <n v="79"/>
    <n v="7.81"/>
    <n v="0.06"/>
    <n v="0.61"/>
    <n v="3.99"/>
    <n v="2"/>
    <n v="30.72"/>
    <s v="High"/>
  </r>
  <r>
    <s v="Team C"/>
    <s v="Agent_10"/>
    <s v="Monday"/>
    <x v="0"/>
    <s v="3-6 months"/>
    <n v="36"/>
    <n v="5.34"/>
    <n v="0.1"/>
    <n v="0.78"/>
    <n v="4.04"/>
    <n v="1"/>
    <n v="25.01"/>
    <s v="Low"/>
  </r>
  <r>
    <s v="Team C"/>
    <s v="Agent_10"/>
    <s v="Monday"/>
    <x v="1"/>
    <s v="0-3 months"/>
    <n v="58"/>
    <n v="6.42"/>
    <n v="0.28000000000000003"/>
    <n v="0.75"/>
    <n v="4.09"/>
    <n v="3"/>
    <n v="30.63"/>
    <s v="High"/>
  </r>
  <r>
    <s v="Team C"/>
    <s v="Agent_10"/>
    <s v="Monday"/>
    <x v="2"/>
    <s v="0-3 months"/>
    <n v="34"/>
    <n v="5.83"/>
    <n v="0.28999999999999998"/>
    <n v="0.74"/>
    <n v="3.75"/>
    <n v="0"/>
    <n v="23.74"/>
    <s v="Low"/>
  </r>
  <r>
    <s v="Team C"/>
    <s v="Agent_10"/>
    <s v="Tuesday"/>
    <x v="0"/>
    <s v="0-3 months"/>
    <n v="78"/>
    <n v="4.5"/>
    <n v="0.1"/>
    <n v="0.82"/>
    <n v="3.85"/>
    <n v="0"/>
    <n v="21.75"/>
    <s v="Low"/>
  </r>
  <r>
    <s v="Team C"/>
    <s v="Agent_10"/>
    <s v="Tuesday"/>
    <x v="1"/>
    <s v="3-6 months"/>
    <n v="51"/>
    <n v="5.35"/>
    <n v="0.04"/>
    <n v="0.84"/>
    <n v="3.72"/>
    <n v="2"/>
    <n v="27.02"/>
    <s v="Low"/>
  </r>
  <r>
    <s v="Team C"/>
    <s v="Agent_10"/>
    <s v="Tuesday"/>
    <x v="2"/>
    <s v="0-3 months"/>
    <n v="70"/>
    <n v="6.2"/>
    <n v="0.21"/>
    <n v="0.76"/>
    <n v="3.85"/>
    <n v="0"/>
    <n v="24.3"/>
    <s v="Low"/>
  </r>
  <r>
    <s v="Team C"/>
    <s v="Agent_10"/>
    <s v="Wednesday"/>
    <x v="0"/>
    <s v="6+ months"/>
    <n v="44"/>
    <n v="5.19"/>
    <n v="0.09"/>
    <n v="0.82"/>
    <n v="4.37"/>
    <n v="0"/>
    <n v="22.78"/>
    <s v="Low"/>
  </r>
  <r>
    <s v="Team C"/>
    <s v="Agent_10"/>
    <s v="Wednesday"/>
    <x v="1"/>
    <s v="3-6 months"/>
    <n v="31"/>
    <n v="5.79"/>
    <n v="0.1"/>
    <n v="0.86"/>
    <n v="4.38"/>
    <n v="0"/>
    <n v="23.68"/>
    <s v="Low"/>
  </r>
  <r>
    <s v="Team C"/>
    <s v="Agent_10"/>
    <s v="Wednesday"/>
    <x v="2"/>
    <s v="0-3 months"/>
    <n v="33"/>
    <n v="6.28"/>
    <n v="0.28000000000000003"/>
    <n v="0.74"/>
    <n v="4.72"/>
    <n v="0"/>
    <n v="24.42"/>
    <s v="Low"/>
  </r>
  <r>
    <s v="Team C"/>
    <s v="Agent_10"/>
    <s v="Thursday"/>
    <x v="0"/>
    <s v="6+ months"/>
    <n v="75"/>
    <n v="6.56"/>
    <n v="0.15"/>
    <n v="0.77"/>
    <n v="3.51"/>
    <n v="0"/>
    <n v="24.84"/>
    <s v="Low"/>
  </r>
  <r>
    <s v="Team C"/>
    <s v="Agent_10"/>
    <s v="Thursday"/>
    <x v="1"/>
    <s v="0-3 months"/>
    <n v="50"/>
    <n v="4.9800000000000004"/>
    <n v="0.28000000000000003"/>
    <n v="0.82"/>
    <n v="3.84"/>
    <n v="0"/>
    <n v="22.47"/>
    <s v="Low"/>
  </r>
  <r>
    <s v="Team C"/>
    <s v="Agent_10"/>
    <s v="Thursday"/>
    <x v="2"/>
    <s v="6+ months"/>
    <n v="55"/>
    <n v="7.97"/>
    <n v="0.11"/>
    <n v="0.65"/>
    <n v="4.3499999999999996"/>
    <n v="2"/>
    <n v="30.96"/>
    <s v="High"/>
  </r>
  <r>
    <s v="Team C"/>
    <s v="Agent_10"/>
    <s v="Friday"/>
    <x v="0"/>
    <s v="0-3 months"/>
    <n v="76"/>
    <n v="6.54"/>
    <n v="0.06"/>
    <n v="0.8"/>
    <n v="3.52"/>
    <n v="0"/>
    <n v="24.81"/>
    <s v="Low"/>
  </r>
  <r>
    <s v="Team C"/>
    <s v="Agent_10"/>
    <s v="Friday"/>
    <x v="1"/>
    <s v="6+ months"/>
    <n v="40"/>
    <n v="7.71"/>
    <n v="0.1"/>
    <n v="0.85"/>
    <n v="3.61"/>
    <n v="3"/>
    <n v="32.56"/>
    <s v="High"/>
  </r>
  <r>
    <s v="Team C"/>
    <s v="Agent_10"/>
    <s v="Friday"/>
    <x v="2"/>
    <s v="6+ months"/>
    <n v="67"/>
    <n v="5.7"/>
    <n v="7.0000000000000007E-2"/>
    <n v="0.72"/>
    <n v="3.87"/>
    <n v="1"/>
    <n v="25.55"/>
    <s v="Low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s v="Team A"/>
    <s v="Agent_1"/>
    <s v="Monday"/>
    <s v="Morning"/>
    <s v="3-6 months"/>
    <n v="58"/>
    <n v="6.54"/>
    <n v="0.1"/>
    <n v="0.82"/>
    <x v="0"/>
    <n v="0"/>
    <n v="24.81"/>
    <s v="Low"/>
  </r>
  <r>
    <s v="Team A"/>
    <s v="Agent_1"/>
    <s v="Monday"/>
    <s v="Afternoon"/>
    <s v="3-6 months"/>
    <n v="69"/>
    <n v="5.38"/>
    <n v="0.11"/>
    <n v="0.75"/>
    <x v="1"/>
    <n v="2"/>
    <n v="27.07"/>
    <s v="Low"/>
  </r>
  <r>
    <s v="Team A"/>
    <s v="Agent_1"/>
    <s v="Monday"/>
    <s v="Evening"/>
    <s v="0-3 months"/>
    <n v="50"/>
    <n v="7.46"/>
    <n v="0.05"/>
    <n v="0.61"/>
    <x v="2"/>
    <n v="0"/>
    <n v="26.19"/>
    <s v="Low"/>
  </r>
  <r>
    <s v="Team A"/>
    <s v="Agent_1"/>
    <s v="Tuesday"/>
    <s v="Morning"/>
    <s v="0-3 months"/>
    <n v="45"/>
    <n v="7.54"/>
    <n v="0.11"/>
    <n v="0.76"/>
    <x v="3"/>
    <n v="0"/>
    <n v="26.31"/>
    <s v="Low"/>
  </r>
  <r>
    <s v="Team A"/>
    <s v="Agent_1"/>
    <s v="Tuesday"/>
    <s v="Afternoon"/>
    <s v="6+ months"/>
    <n v="32"/>
    <n v="6.42"/>
    <n v="0.08"/>
    <n v="0.75"/>
    <x v="4"/>
    <n v="0"/>
    <n v="24.63"/>
    <s v="Low"/>
  </r>
  <r>
    <s v="Team A"/>
    <s v="Agent_1"/>
    <s v="Tuesday"/>
    <s v="Evening"/>
    <s v="3-6 months"/>
    <n v="55"/>
    <n v="6.83"/>
    <n v="0.03"/>
    <n v="0.77"/>
    <x v="5"/>
    <n v="0"/>
    <n v="25.24"/>
    <s v="Low"/>
  </r>
  <r>
    <s v="Team A"/>
    <s v="Agent_1"/>
    <s v="Wednesday"/>
    <s v="Morning"/>
    <s v="3-6 months"/>
    <n v="76"/>
    <n v="5.61"/>
    <n v="0.04"/>
    <n v="0.86"/>
    <x v="6"/>
    <n v="0"/>
    <n v="23.42"/>
    <s v="Low"/>
  </r>
  <r>
    <s v="Team A"/>
    <s v="Agent_1"/>
    <s v="Wednesday"/>
    <s v="Afternoon"/>
    <s v="3-6 months"/>
    <n v="58"/>
    <n v="4.84"/>
    <n v="0.15"/>
    <n v="0.87"/>
    <x v="4"/>
    <n v="2"/>
    <n v="26.26"/>
    <s v="Low"/>
  </r>
  <r>
    <s v="Team A"/>
    <s v="Agent_1"/>
    <s v="Wednesday"/>
    <s v="Evening"/>
    <s v="3-6 months"/>
    <n v="77"/>
    <n v="6.75"/>
    <n v="0.09"/>
    <n v="0.84"/>
    <x v="7"/>
    <n v="1"/>
    <n v="27.12"/>
    <s v="Low"/>
  </r>
  <r>
    <s v="Team A"/>
    <s v="Agent_1"/>
    <s v="Thursday"/>
    <s v="Morning"/>
    <s v="3-6 months"/>
    <n v="53"/>
    <n v="4.16"/>
    <n v="7.0000000000000007E-2"/>
    <n v="0.79"/>
    <x v="8"/>
    <n v="0"/>
    <n v="21.24"/>
    <s v="Low"/>
  </r>
  <r>
    <s v="Team A"/>
    <s v="Agent_1"/>
    <s v="Thursday"/>
    <s v="Afternoon"/>
    <s v="6+ months"/>
    <n v="30"/>
    <n v="5.96"/>
    <n v="7.0000000000000007E-2"/>
    <n v="0.79"/>
    <x v="9"/>
    <n v="0"/>
    <n v="23.94"/>
    <s v="Low"/>
  </r>
  <r>
    <s v="Team A"/>
    <s v="Agent_1"/>
    <s v="Thursday"/>
    <s v="Evening"/>
    <s v="6+ months"/>
    <n v="64"/>
    <n v="5.72"/>
    <n v="0.12"/>
    <n v="0.62"/>
    <x v="10"/>
    <n v="0"/>
    <n v="23.58"/>
    <s v="Low"/>
  </r>
  <r>
    <s v="Team A"/>
    <s v="Agent_1"/>
    <s v="Friday"/>
    <s v="Morning"/>
    <s v="6+ months"/>
    <n v="37"/>
    <n v="5.0999999999999996"/>
    <n v="7.0000000000000007E-2"/>
    <n v="0.85"/>
    <x v="11"/>
    <n v="0"/>
    <n v="22.65"/>
    <s v="Low"/>
  </r>
  <r>
    <s v="Team A"/>
    <s v="Agent_1"/>
    <s v="Friday"/>
    <s v="Afternoon"/>
    <s v="0-3 months"/>
    <n v="64"/>
    <n v="5.89"/>
    <n v="0.17"/>
    <n v="0.77"/>
    <x v="12"/>
    <n v="1"/>
    <n v="25.84"/>
    <s v="Low"/>
  </r>
  <r>
    <s v="Team A"/>
    <s v="Agent_1"/>
    <s v="Friday"/>
    <s v="Evening"/>
    <s v="3-6 months"/>
    <n v="43"/>
    <n v="9.3699999999999992"/>
    <n v="0.08"/>
    <n v="0.61"/>
    <x v="13"/>
    <n v="0"/>
    <n v="29.06"/>
    <s v="High"/>
  </r>
  <r>
    <s v="Team A"/>
    <s v="Agent_2"/>
    <s v="Monday"/>
    <s v="Morning"/>
    <s v="3-6 months"/>
    <n v="61"/>
    <n v="5.08"/>
    <n v="0.11"/>
    <n v="0.77"/>
    <x v="14"/>
    <n v="0"/>
    <n v="22.62"/>
    <s v="Low"/>
  </r>
  <r>
    <s v="Team A"/>
    <s v="Agent_2"/>
    <s v="Monday"/>
    <s v="Afternoon"/>
    <s v="0-3 months"/>
    <n v="42"/>
    <n v="5.79"/>
    <n v="0.09"/>
    <n v="0.89"/>
    <x v="15"/>
    <n v="1"/>
    <n v="25.68"/>
    <s v="Low"/>
  </r>
  <r>
    <s v="Team A"/>
    <s v="Agent_2"/>
    <s v="Monday"/>
    <s v="Evening"/>
    <s v="6+ months"/>
    <n v="57"/>
    <n v="5.57"/>
    <n v="0.05"/>
    <n v="0.7"/>
    <x v="16"/>
    <n v="0"/>
    <n v="23.36"/>
    <s v="Low"/>
  </r>
  <r>
    <s v="Team A"/>
    <s v="Agent_2"/>
    <s v="Tuesday"/>
    <s v="Morning"/>
    <s v="0-3 months"/>
    <n v="54"/>
    <n v="5.3"/>
    <n v="0.11"/>
    <n v="0.81"/>
    <x v="17"/>
    <n v="2"/>
    <n v="26.95"/>
    <s v="Low"/>
  </r>
  <r>
    <s v="Team A"/>
    <s v="Agent_2"/>
    <s v="Tuesday"/>
    <s v="Afternoon"/>
    <s v="0-3 months"/>
    <n v="37"/>
    <n v="5.67"/>
    <n v="0.18"/>
    <n v="0.82"/>
    <x v="18"/>
    <n v="0"/>
    <n v="23.5"/>
    <s v="Low"/>
  </r>
  <r>
    <s v="Team A"/>
    <s v="Agent_2"/>
    <s v="Tuesday"/>
    <s v="Evening"/>
    <s v="0-3 months"/>
    <n v="61"/>
    <n v="7.89"/>
    <n v="0.14000000000000001"/>
    <n v="0.84"/>
    <x v="19"/>
    <n v="0"/>
    <n v="26.84"/>
    <s v="Low"/>
  </r>
  <r>
    <s v="Team A"/>
    <s v="Agent_2"/>
    <s v="Wednesday"/>
    <s v="Morning"/>
    <s v="3-6 months"/>
    <n v="78"/>
    <n v="6.17"/>
    <n v="0.04"/>
    <n v="0.9"/>
    <x v="20"/>
    <n v="3"/>
    <n v="30.26"/>
    <s v="High"/>
  </r>
  <r>
    <s v="Team A"/>
    <s v="Agent_2"/>
    <s v="Wednesday"/>
    <s v="Afternoon"/>
    <s v="3-6 months"/>
    <n v="52"/>
    <n v="6.48"/>
    <n v="0.05"/>
    <n v="0.77"/>
    <x v="21"/>
    <n v="3"/>
    <n v="30.72"/>
    <s v="High"/>
  </r>
  <r>
    <s v="Team A"/>
    <s v="Agent_2"/>
    <s v="Wednesday"/>
    <s v="Evening"/>
    <s v="0-3 months"/>
    <n v="33"/>
    <n v="5.74"/>
    <n v="7.0000000000000007E-2"/>
    <n v="0.69"/>
    <x v="22"/>
    <n v="2"/>
    <n v="27.61"/>
    <s v="Low"/>
  </r>
  <r>
    <s v="Team A"/>
    <s v="Agent_2"/>
    <s v="Thursday"/>
    <s v="Morning"/>
    <s v="3-6 months"/>
    <n v="63"/>
    <n v="6.59"/>
    <n v="0.03"/>
    <n v="0.88"/>
    <x v="23"/>
    <n v="0"/>
    <n v="24.88"/>
    <s v="Low"/>
  </r>
  <r>
    <s v="Team A"/>
    <s v="Agent_2"/>
    <s v="Thursday"/>
    <s v="Afternoon"/>
    <s v="0-3 months"/>
    <n v="49"/>
    <n v="8.19"/>
    <n v="0.13"/>
    <n v="0.78"/>
    <x v="24"/>
    <n v="2"/>
    <n v="31.28"/>
    <s v="High"/>
  </r>
  <r>
    <s v="Team A"/>
    <s v="Agent_2"/>
    <s v="Thursday"/>
    <s v="Evening"/>
    <s v="3-6 months"/>
    <n v="36"/>
    <n v="6.54"/>
    <n v="7.0000000000000007E-2"/>
    <n v="0.83"/>
    <x v="25"/>
    <n v="0"/>
    <n v="24.81"/>
    <s v="Low"/>
  </r>
  <r>
    <s v="Team A"/>
    <s v="Agent_2"/>
    <s v="Friday"/>
    <s v="Morning"/>
    <s v="0-3 months"/>
    <n v="52"/>
    <n v="5.09"/>
    <n v="0.19"/>
    <n v="0.85"/>
    <x v="26"/>
    <n v="0"/>
    <n v="22.64"/>
    <s v="Low"/>
  </r>
  <r>
    <s v="Team A"/>
    <s v="Agent_2"/>
    <s v="Friday"/>
    <s v="Afternoon"/>
    <s v="6+ months"/>
    <n v="78"/>
    <n v="5.68"/>
    <n v="0.14000000000000001"/>
    <n v="0.89"/>
    <x v="27"/>
    <n v="0"/>
    <n v="23.52"/>
    <s v="Low"/>
  </r>
  <r>
    <s v="Team A"/>
    <s v="Agent_2"/>
    <s v="Friday"/>
    <s v="Evening"/>
    <s v="3-6 months"/>
    <n v="77"/>
    <n v="5.79"/>
    <n v="0.13"/>
    <n v="0.81"/>
    <x v="28"/>
    <n v="2"/>
    <n v="27.68"/>
    <s v="Low"/>
  </r>
  <r>
    <s v="Team A"/>
    <s v="Agent_3"/>
    <s v="Monday"/>
    <s v="Morning"/>
    <s v="6+ months"/>
    <n v="78"/>
    <n v="6.29"/>
    <n v="0.02"/>
    <n v="0.77"/>
    <x v="8"/>
    <n v="1"/>
    <n v="26.44"/>
    <s v="Low"/>
  </r>
  <r>
    <s v="Team A"/>
    <s v="Agent_3"/>
    <s v="Monday"/>
    <s v="Afternoon"/>
    <s v="3-6 months"/>
    <n v="70"/>
    <n v="5.29"/>
    <n v="0.04"/>
    <n v="0.75"/>
    <x v="21"/>
    <n v="0"/>
    <n v="22.94"/>
    <s v="Low"/>
  </r>
  <r>
    <s v="Team A"/>
    <s v="Agent_3"/>
    <s v="Monday"/>
    <s v="Evening"/>
    <s v="3-6 months"/>
    <n v="37"/>
    <n v="6.42"/>
    <n v="0.09"/>
    <n v="0.62"/>
    <x v="29"/>
    <n v="0"/>
    <n v="24.63"/>
    <s v="Low"/>
  </r>
  <r>
    <s v="Team A"/>
    <s v="Agent_3"/>
    <s v="Tuesday"/>
    <s v="Morning"/>
    <s v="0-3 months"/>
    <n v="67"/>
    <n v="6.94"/>
    <n v="0.28999999999999998"/>
    <n v="0.82"/>
    <x v="30"/>
    <n v="0"/>
    <n v="25.41"/>
    <s v="Low"/>
  </r>
  <r>
    <s v="Team A"/>
    <s v="Agent_3"/>
    <s v="Tuesday"/>
    <s v="Afternoon"/>
    <s v="3-6 months"/>
    <n v="62"/>
    <n v="5.74"/>
    <n v="0.05"/>
    <n v="0.86"/>
    <x v="31"/>
    <n v="0"/>
    <n v="23.61"/>
    <s v="Low"/>
  </r>
  <r>
    <s v="Team A"/>
    <s v="Agent_3"/>
    <s v="Tuesday"/>
    <s v="Evening"/>
    <s v="3-6 months"/>
    <n v="46"/>
    <n v="8.7200000000000006"/>
    <n v="0.15"/>
    <n v="0.72"/>
    <x v="32"/>
    <n v="2"/>
    <n v="32.08"/>
    <s v="High"/>
  </r>
  <r>
    <s v="Team A"/>
    <s v="Agent_3"/>
    <s v="Wednesday"/>
    <s v="Morning"/>
    <s v="6+ months"/>
    <n v="66"/>
    <n v="5.88"/>
    <n v="0.15"/>
    <n v="0.89"/>
    <x v="33"/>
    <n v="0"/>
    <n v="23.82"/>
    <s v="Low"/>
  </r>
  <r>
    <s v="Team A"/>
    <s v="Agent_3"/>
    <s v="Wednesday"/>
    <s v="Afternoon"/>
    <s v="3-6 months"/>
    <n v="52"/>
    <n v="6.74"/>
    <n v="0.05"/>
    <n v="0.82"/>
    <x v="29"/>
    <n v="0"/>
    <n v="25.11"/>
    <s v="Low"/>
  </r>
  <r>
    <s v="Team A"/>
    <s v="Agent_3"/>
    <s v="Wednesday"/>
    <s v="Evening"/>
    <s v="6+ months"/>
    <n v="32"/>
    <n v="5.12"/>
    <n v="0.1"/>
    <n v="0.85"/>
    <x v="25"/>
    <n v="0"/>
    <n v="22.68"/>
    <s v="Low"/>
  </r>
  <r>
    <s v="Team A"/>
    <s v="Agent_3"/>
    <s v="Thursday"/>
    <s v="Morning"/>
    <s v="6+ months"/>
    <n v="46"/>
    <n v="6.15"/>
    <n v="0.13"/>
    <n v="0.77"/>
    <x v="24"/>
    <n v="0"/>
    <n v="24.22"/>
    <s v="Low"/>
  </r>
  <r>
    <s v="Team A"/>
    <s v="Agent_3"/>
    <s v="Thursday"/>
    <s v="Afternoon"/>
    <s v="0-3 months"/>
    <n v="55"/>
    <n v="6.3"/>
    <n v="0.28000000000000003"/>
    <n v="0.83"/>
    <x v="34"/>
    <n v="1"/>
    <n v="26.45"/>
    <s v="Low"/>
  </r>
  <r>
    <s v="Team A"/>
    <s v="Agent_3"/>
    <s v="Thursday"/>
    <s v="Evening"/>
    <s v="3-6 months"/>
    <n v="75"/>
    <n v="6.26"/>
    <n v="0.12"/>
    <n v="0.82"/>
    <x v="35"/>
    <n v="0"/>
    <n v="24.39"/>
    <s v="Low"/>
  </r>
  <r>
    <s v="Team A"/>
    <s v="Agent_3"/>
    <s v="Friday"/>
    <s v="Morning"/>
    <s v="0-3 months"/>
    <n v="52"/>
    <n v="4.8"/>
    <n v="0.09"/>
    <n v="0.9"/>
    <x v="36"/>
    <n v="2"/>
    <n v="26.2"/>
    <s v="Low"/>
  </r>
  <r>
    <s v="Team A"/>
    <s v="Agent_3"/>
    <s v="Friday"/>
    <s v="Afternoon"/>
    <s v="0-3 months"/>
    <n v="71"/>
    <n v="7.2"/>
    <n v="0.26"/>
    <n v="0.8"/>
    <x v="37"/>
    <n v="0"/>
    <n v="25.8"/>
    <s v="Low"/>
  </r>
  <r>
    <s v="Team A"/>
    <s v="Agent_3"/>
    <s v="Friday"/>
    <s v="Evening"/>
    <s v="6+ months"/>
    <n v="73"/>
    <n v="5.95"/>
    <n v="0.13"/>
    <n v="0.65"/>
    <x v="28"/>
    <n v="1"/>
    <n v="25.92"/>
    <s v="Low"/>
  </r>
  <r>
    <s v="Team A"/>
    <s v="Agent_4"/>
    <s v="Monday"/>
    <s v="Morning"/>
    <s v="0-3 months"/>
    <n v="45"/>
    <n v="6.52"/>
    <n v="0.28999999999999998"/>
    <n v="0.83"/>
    <x v="23"/>
    <n v="1"/>
    <n v="26.78"/>
    <s v="Low"/>
  </r>
  <r>
    <s v="Team A"/>
    <s v="Agent_4"/>
    <s v="Monday"/>
    <s v="Afternoon"/>
    <s v="0-3 months"/>
    <n v="57"/>
    <n v="5.14"/>
    <n v="0.1"/>
    <n v="0.76"/>
    <x v="38"/>
    <n v="1"/>
    <n v="24.71"/>
    <s v="Low"/>
  </r>
  <r>
    <s v="Team A"/>
    <s v="Agent_4"/>
    <s v="Monday"/>
    <s v="Evening"/>
    <s v="0-3 months"/>
    <n v="30"/>
    <n v="6.84"/>
    <n v="0.16"/>
    <n v="0.66"/>
    <x v="39"/>
    <n v="0"/>
    <n v="25.26"/>
    <s v="Low"/>
  </r>
  <r>
    <s v="Team A"/>
    <s v="Agent_4"/>
    <s v="Tuesday"/>
    <s v="Morning"/>
    <s v="6+ months"/>
    <n v="30"/>
    <n v="8.1199999999999992"/>
    <n v="7.0000000000000007E-2"/>
    <n v="0.79"/>
    <x v="40"/>
    <n v="1"/>
    <n v="29.18"/>
    <s v="High"/>
  </r>
  <r>
    <s v="Team A"/>
    <s v="Agent_4"/>
    <s v="Tuesday"/>
    <s v="Afternoon"/>
    <s v="0-3 months"/>
    <n v="43"/>
    <n v="7.03"/>
    <n v="7.0000000000000007E-2"/>
    <n v="0.76"/>
    <x v="41"/>
    <n v="3"/>
    <n v="31.54"/>
    <s v="High"/>
  </r>
  <r>
    <s v="Team A"/>
    <s v="Agent_4"/>
    <s v="Tuesday"/>
    <s v="Evening"/>
    <s v="0-3 months"/>
    <n v="45"/>
    <n v="5.98"/>
    <n v="0.17"/>
    <n v="0.64"/>
    <x v="38"/>
    <n v="0"/>
    <n v="23.97"/>
    <s v="Low"/>
  </r>
  <r>
    <s v="Team A"/>
    <s v="Agent_4"/>
    <s v="Wednesday"/>
    <s v="Morning"/>
    <s v="3-6 months"/>
    <n v="34"/>
    <n v="5.07"/>
    <n v="0.14000000000000001"/>
    <n v="0.79"/>
    <x v="9"/>
    <n v="2"/>
    <n v="26.6"/>
    <s v="Low"/>
  </r>
  <r>
    <s v="Team A"/>
    <s v="Agent_4"/>
    <s v="Wednesday"/>
    <s v="Afternoon"/>
    <s v="3-6 months"/>
    <n v="34"/>
    <n v="6.97"/>
    <n v="0.14000000000000001"/>
    <n v="0.89"/>
    <x v="42"/>
    <n v="1"/>
    <n v="27.46"/>
    <s v="Low"/>
  </r>
  <r>
    <s v="Team A"/>
    <s v="Agent_4"/>
    <s v="Wednesday"/>
    <s v="Evening"/>
    <s v="6+ months"/>
    <n v="41"/>
    <n v="7.54"/>
    <n v="7.0000000000000007E-2"/>
    <n v="0.76"/>
    <x v="43"/>
    <n v="0"/>
    <n v="26.31"/>
    <s v="Low"/>
  </r>
  <r>
    <s v="Team A"/>
    <s v="Agent_4"/>
    <s v="Thursday"/>
    <s v="Morning"/>
    <s v="6+ months"/>
    <n v="32"/>
    <n v="6.5"/>
    <n v="0.05"/>
    <n v="0.79"/>
    <x v="44"/>
    <n v="0"/>
    <n v="24.75"/>
    <s v="Low"/>
  </r>
  <r>
    <s v="Team A"/>
    <s v="Agent_4"/>
    <s v="Thursday"/>
    <s v="Afternoon"/>
    <s v="0-3 months"/>
    <n v="79"/>
    <n v="7.06"/>
    <n v="0.22"/>
    <n v="0.76"/>
    <x v="45"/>
    <n v="2"/>
    <n v="29.59"/>
    <s v="High"/>
  </r>
  <r>
    <s v="Team A"/>
    <s v="Agent_4"/>
    <s v="Thursday"/>
    <s v="Evening"/>
    <s v="0-3 months"/>
    <n v="63"/>
    <n v="5.97"/>
    <n v="0.22"/>
    <n v="0.69"/>
    <x v="4"/>
    <n v="0"/>
    <n v="23.96"/>
    <s v="Low"/>
  </r>
  <r>
    <s v="Team A"/>
    <s v="Agent_4"/>
    <s v="Friday"/>
    <s v="Morning"/>
    <s v="3-6 months"/>
    <n v="65"/>
    <n v="4.28"/>
    <n v="0.04"/>
    <n v="0.86"/>
    <x v="15"/>
    <n v="3"/>
    <n v="27.42"/>
    <s v="Low"/>
  </r>
  <r>
    <s v="Team A"/>
    <s v="Agent_4"/>
    <s v="Friday"/>
    <s v="Afternoon"/>
    <s v="3-6 months"/>
    <n v="47"/>
    <n v="6.49"/>
    <n v="0.13"/>
    <n v="0.83"/>
    <x v="22"/>
    <n v="1"/>
    <n v="26.74"/>
    <s v="Low"/>
  </r>
  <r>
    <s v="Team A"/>
    <s v="Agent_4"/>
    <s v="Friday"/>
    <s v="Evening"/>
    <s v="6+ months"/>
    <n v="64"/>
    <n v="4.47"/>
    <n v="0.03"/>
    <n v="0.83"/>
    <x v="46"/>
    <n v="2"/>
    <n v="25.7"/>
    <s v="Low"/>
  </r>
  <r>
    <s v="Team A"/>
    <s v="Agent_5"/>
    <s v="Monday"/>
    <s v="Morning"/>
    <s v="3-6 months"/>
    <n v="48"/>
    <n v="6.32"/>
    <n v="0.14000000000000001"/>
    <n v="0.84"/>
    <x v="27"/>
    <n v="0"/>
    <n v="24.48"/>
    <s v="Low"/>
  </r>
  <r>
    <s v="Team A"/>
    <s v="Agent_5"/>
    <s v="Monday"/>
    <s v="Afternoon"/>
    <s v="0-3 months"/>
    <n v="54"/>
    <n v="5.87"/>
    <n v="0.19"/>
    <n v="0.78"/>
    <x v="47"/>
    <n v="1"/>
    <n v="25.8"/>
    <s v="Low"/>
  </r>
  <r>
    <s v="Team A"/>
    <s v="Agent_5"/>
    <s v="Monday"/>
    <s v="Evening"/>
    <s v="0-3 months"/>
    <n v="71"/>
    <n v="7.81"/>
    <n v="0.28999999999999998"/>
    <n v="0.77"/>
    <x v="36"/>
    <n v="2"/>
    <n v="30.72"/>
    <s v="High"/>
  </r>
  <r>
    <s v="Team A"/>
    <s v="Agent_5"/>
    <s v="Tuesday"/>
    <s v="Morning"/>
    <s v="6+ months"/>
    <n v="75"/>
    <n v="6.4"/>
    <n v="0.11"/>
    <n v="0.76"/>
    <x v="48"/>
    <n v="1"/>
    <n v="26.6"/>
    <s v="Low"/>
  </r>
  <r>
    <s v="Team A"/>
    <s v="Agent_5"/>
    <s v="Tuesday"/>
    <s v="Afternoon"/>
    <s v="0-3 months"/>
    <n v="66"/>
    <n v="6.45"/>
    <n v="0.27"/>
    <n v="0.88"/>
    <x v="22"/>
    <n v="2"/>
    <n v="28.68"/>
    <s v="High"/>
  </r>
  <r>
    <s v="Team A"/>
    <s v="Agent_5"/>
    <s v="Tuesday"/>
    <s v="Evening"/>
    <s v="3-6 months"/>
    <n v="65"/>
    <n v="4.54"/>
    <n v="7.0000000000000007E-2"/>
    <n v="0.62"/>
    <x v="49"/>
    <n v="0"/>
    <n v="21.81"/>
    <s v="Low"/>
  </r>
  <r>
    <s v="Team A"/>
    <s v="Agent_5"/>
    <s v="Wednesday"/>
    <s v="Morning"/>
    <s v="3-6 months"/>
    <n v="55"/>
    <n v="5.28"/>
    <n v="0.05"/>
    <n v="0.81"/>
    <x v="50"/>
    <n v="1"/>
    <n v="24.92"/>
    <s v="Low"/>
  </r>
  <r>
    <s v="Team A"/>
    <s v="Agent_5"/>
    <s v="Wednesday"/>
    <s v="Afternoon"/>
    <s v="6+ months"/>
    <n v="70"/>
    <n v="4.12"/>
    <n v="0.12"/>
    <n v="0.85"/>
    <x v="22"/>
    <n v="0"/>
    <n v="21.18"/>
    <s v="Low"/>
  </r>
  <r>
    <s v="Team A"/>
    <s v="Agent_5"/>
    <s v="Wednesday"/>
    <s v="Evening"/>
    <s v="3-6 months"/>
    <n v="54"/>
    <n v="5.66"/>
    <n v="0.15"/>
    <n v="0.6"/>
    <x v="1"/>
    <n v="0"/>
    <n v="23.49"/>
    <s v="Low"/>
  </r>
  <r>
    <s v="Team A"/>
    <s v="Agent_5"/>
    <s v="Thursday"/>
    <s v="Morning"/>
    <s v="6+ months"/>
    <n v="50"/>
    <n v="6.46"/>
    <n v="0.15"/>
    <n v="0.76"/>
    <x v="51"/>
    <n v="3"/>
    <n v="30.69"/>
    <s v="High"/>
  </r>
  <r>
    <s v="Team A"/>
    <s v="Agent_5"/>
    <s v="Thursday"/>
    <s v="Afternoon"/>
    <s v="3-6 months"/>
    <n v="70"/>
    <n v="5.3"/>
    <n v="0.15"/>
    <n v="0.85"/>
    <x v="52"/>
    <n v="1"/>
    <n v="24.95"/>
    <s v="Low"/>
  </r>
  <r>
    <s v="Team A"/>
    <s v="Agent_5"/>
    <s v="Thursday"/>
    <s v="Evening"/>
    <s v="6+ months"/>
    <n v="39"/>
    <n v="5.03"/>
    <n v="0.14000000000000001"/>
    <n v="0.82"/>
    <x v="53"/>
    <n v="1"/>
    <n v="24.54"/>
    <s v="Low"/>
  </r>
  <r>
    <s v="Team A"/>
    <s v="Agent_5"/>
    <s v="Friday"/>
    <s v="Morning"/>
    <s v="0-3 months"/>
    <n v="57"/>
    <n v="4.79"/>
    <n v="0.11"/>
    <n v="0.79"/>
    <x v="10"/>
    <n v="0"/>
    <n v="22.18"/>
    <s v="Low"/>
  </r>
  <r>
    <s v="Team A"/>
    <s v="Agent_5"/>
    <s v="Friday"/>
    <s v="Afternoon"/>
    <s v="3-6 months"/>
    <n v="46"/>
    <n v="7.59"/>
    <n v="0.06"/>
    <n v="0.81"/>
    <x v="54"/>
    <n v="0"/>
    <n v="26.38"/>
    <s v="Low"/>
  </r>
  <r>
    <s v="Team A"/>
    <s v="Agent_5"/>
    <s v="Friday"/>
    <s v="Evening"/>
    <s v="0-3 months"/>
    <n v="64"/>
    <n v="6.74"/>
    <n v="0.15"/>
    <n v="0.83"/>
    <x v="42"/>
    <n v="0"/>
    <n v="25.11"/>
    <s v="Low"/>
  </r>
  <r>
    <s v="Team A"/>
    <s v="Agent_6"/>
    <s v="Monday"/>
    <s v="Morning"/>
    <s v="0-3 months"/>
    <n v="62"/>
    <n v="7.48"/>
    <n v="0.24"/>
    <n v="0.82"/>
    <x v="55"/>
    <n v="0"/>
    <n v="26.22"/>
    <s v="Low"/>
  </r>
  <r>
    <s v="Team A"/>
    <s v="Agent_6"/>
    <s v="Monday"/>
    <s v="Afternoon"/>
    <s v="6+ months"/>
    <n v="54"/>
    <n v="5.89"/>
    <n v="7.0000000000000007E-2"/>
    <n v="0.79"/>
    <x v="56"/>
    <n v="2"/>
    <n v="27.84"/>
    <s v="High"/>
  </r>
  <r>
    <s v="Team A"/>
    <s v="Agent_6"/>
    <s v="Monday"/>
    <s v="Evening"/>
    <s v="6+ months"/>
    <n v="60"/>
    <n v="7.24"/>
    <n v="0.12"/>
    <n v="0.83"/>
    <x v="57"/>
    <n v="1"/>
    <n v="27.86"/>
    <s v="High"/>
  </r>
  <r>
    <s v="Team A"/>
    <s v="Agent_6"/>
    <s v="Tuesday"/>
    <s v="Morning"/>
    <s v="6+ months"/>
    <n v="48"/>
    <n v="5.69"/>
    <n v="0.04"/>
    <n v="0.89"/>
    <x v="14"/>
    <n v="0"/>
    <n v="23.54"/>
    <s v="Low"/>
  </r>
  <r>
    <s v="Team A"/>
    <s v="Agent_6"/>
    <s v="Tuesday"/>
    <s v="Afternoon"/>
    <s v="3-6 months"/>
    <n v="61"/>
    <n v="4.4000000000000004"/>
    <n v="0.03"/>
    <n v="0.79"/>
    <x v="58"/>
    <n v="0"/>
    <n v="21.6"/>
    <s v="Low"/>
  </r>
  <r>
    <s v="Team A"/>
    <s v="Agent_6"/>
    <s v="Tuesday"/>
    <s v="Evening"/>
    <s v="3-6 months"/>
    <n v="32"/>
    <n v="7.18"/>
    <n v="0.09"/>
    <n v="0.74"/>
    <x v="59"/>
    <n v="0"/>
    <n v="25.77"/>
    <s v="Low"/>
  </r>
  <r>
    <s v="Team A"/>
    <s v="Agent_6"/>
    <s v="Wednesday"/>
    <s v="Morning"/>
    <s v="0-3 months"/>
    <n v="76"/>
    <n v="6.07"/>
    <n v="0.16"/>
    <n v="0.87"/>
    <x v="60"/>
    <n v="2"/>
    <n v="28.1"/>
    <s v="High"/>
  </r>
  <r>
    <s v="Team A"/>
    <s v="Agent_6"/>
    <s v="Wednesday"/>
    <s v="Afternoon"/>
    <s v="6+ months"/>
    <n v="63"/>
    <n v="7.06"/>
    <n v="7.0000000000000007E-2"/>
    <n v="0.82"/>
    <x v="30"/>
    <n v="0"/>
    <n v="25.59"/>
    <s v="Low"/>
  </r>
  <r>
    <s v="Team A"/>
    <s v="Agent_6"/>
    <s v="Wednesday"/>
    <s v="Evening"/>
    <s v="3-6 months"/>
    <n v="53"/>
    <n v="4.24"/>
    <n v="0.14000000000000001"/>
    <n v="0.67"/>
    <x v="2"/>
    <n v="1"/>
    <n v="23.36"/>
    <s v="Low"/>
  </r>
  <r>
    <s v="Team A"/>
    <s v="Agent_6"/>
    <s v="Thursday"/>
    <s v="Morning"/>
    <s v="6+ months"/>
    <n v="39"/>
    <n v="5.99"/>
    <n v="0.05"/>
    <n v="0.82"/>
    <x v="61"/>
    <n v="0"/>
    <n v="23.98"/>
    <s v="Low"/>
  </r>
  <r>
    <s v="Team A"/>
    <s v="Agent_6"/>
    <s v="Thursday"/>
    <s v="Afternoon"/>
    <s v="3-6 months"/>
    <n v="72"/>
    <n v="6.8"/>
    <n v="0.1"/>
    <n v="0.8"/>
    <x v="62"/>
    <n v="0"/>
    <n v="25.2"/>
    <s v="Low"/>
  </r>
  <r>
    <s v="Team A"/>
    <s v="Agent_6"/>
    <s v="Thursday"/>
    <s v="Evening"/>
    <s v="3-6 months"/>
    <n v="40"/>
    <n v="6.37"/>
    <n v="0.04"/>
    <n v="0.69"/>
    <x v="63"/>
    <n v="0"/>
    <n v="24.56"/>
    <s v="Low"/>
  </r>
  <r>
    <s v="Team A"/>
    <s v="Agent_6"/>
    <s v="Friday"/>
    <s v="Morning"/>
    <s v="3-6 months"/>
    <n v="79"/>
    <n v="5.0599999999999996"/>
    <n v="0.1"/>
    <n v="0.78"/>
    <x v="48"/>
    <n v="0"/>
    <n v="22.59"/>
    <s v="Low"/>
  </r>
  <r>
    <s v="Team A"/>
    <s v="Agent_6"/>
    <s v="Friday"/>
    <s v="Afternoon"/>
    <s v="3-6 months"/>
    <n v="51"/>
    <n v="4.57"/>
    <n v="7.0000000000000007E-2"/>
    <n v="0.83"/>
    <x v="18"/>
    <n v="0"/>
    <n v="21.86"/>
    <s v="Low"/>
  </r>
  <r>
    <s v="Team A"/>
    <s v="Agent_6"/>
    <s v="Friday"/>
    <s v="Evening"/>
    <s v="6+ months"/>
    <n v="51"/>
    <n v="5.81"/>
    <n v="0.03"/>
    <n v="0.82"/>
    <x v="64"/>
    <n v="0"/>
    <n v="23.72"/>
    <s v="Low"/>
  </r>
  <r>
    <s v="Team A"/>
    <s v="Agent_7"/>
    <s v="Monday"/>
    <s v="Morning"/>
    <s v="0-3 months"/>
    <n v="30"/>
    <n v="6.18"/>
    <n v="0.3"/>
    <n v="0.83"/>
    <x v="64"/>
    <n v="0"/>
    <n v="24.27"/>
    <s v="Low"/>
  </r>
  <r>
    <s v="Team A"/>
    <s v="Agent_7"/>
    <s v="Monday"/>
    <s v="Afternoon"/>
    <s v="6+ months"/>
    <n v="43"/>
    <n v="5.22"/>
    <n v="0.08"/>
    <n v="0.86"/>
    <x v="65"/>
    <n v="0"/>
    <n v="22.83"/>
    <s v="Low"/>
  </r>
  <r>
    <s v="Team A"/>
    <s v="Agent_7"/>
    <s v="Monday"/>
    <s v="Evening"/>
    <s v="6+ months"/>
    <n v="76"/>
    <n v="6.47"/>
    <n v="0.02"/>
    <n v="0.82"/>
    <x v="40"/>
    <n v="0"/>
    <n v="24.7"/>
    <s v="Low"/>
  </r>
  <r>
    <s v="Team A"/>
    <s v="Agent_7"/>
    <s v="Tuesday"/>
    <s v="Morning"/>
    <s v="0-3 months"/>
    <n v="66"/>
    <n v="6.65"/>
    <n v="0.1"/>
    <n v="0.83"/>
    <x v="36"/>
    <n v="0"/>
    <n v="24.98"/>
    <s v="Low"/>
  </r>
  <r>
    <s v="Team A"/>
    <s v="Agent_7"/>
    <s v="Tuesday"/>
    <s v="Afternoon"/>
    <s v="3-6 months"/>
    <n v="54"/>
    <n v="6.22"/>
    <n v="0.11"/>
    <n v="0.87"/>
    <x v="34"/>
    <n v="0"/>
    <n v="24.33"/>
    <s v="Low"/>
  </r>
  <r>
    <s v="Team A"/>
    <s v="Agent_7"/>
    <s v="Tuesday"/>
    <s v="Evening"/>
    <s v="3-6 months"/>
    <n v="63"/>
    <n v="6.91"/>
    <n v="0.09"/>
    <n v="0.75"/>
    <x v="66"/>
    <n v="0"/>
    <n v="25.36"/>
    <s v="Low"/>
  </r>
  <r>
    <s v="Team A"/>
    <s v="Agent_7"/>
    <s v="Wednesday"/>
    <s v="Morning"/>
    <s v="3-6 months"/>
    <n v="55"/>
    <n v="4.58"/>
    <n v="0.08"/>
    <n v="0.8"/>
    <x v="67"/>
    <n v="0"/>
    <n v="21.87"/>
    <s v="Low"/>
  </r>
  <r>
    <s v="Team A"/>
    <s v="Agent_7"/>
    <s v="Wednesday"/>
    <s v="Afternoon"/>
    <s v="0-3 months"/>
    <n v="35"/>
    <n v="6.6"/>
    <n v="0.11"/>
    <n v="0.77"/>
    <x v="68"/>
    <n v="0"/>
    <n v="24.9"/>
    <s v="Low"/>
  </r>
  <r>
    <s v="Team A"/>
    <s v="Agent_7"/>
    <s v="Wednesday"/>
    <s v="Evening"/>
    <s v="0-3 months"/>
    <n v="38"/>
    <n v="6.05"/>
    <n v="0.15"/>
    <n v="0.85"/>
    <x v="69"/>
    <n v="0"/>
    <n v="24.08"/>
    <s v="Low"/>
  </r>
  <r>
    <s v="Team A"/>
    <s v="Agent_7"/>
    <s v="Thursday"/>
    <s v="Morning"/>
    <s v="6+ months"/>
    <n v="33"/>
    <n v="5.17"/>
    <n v="0.02"/>
    <n v="0.9"/>
    <x v="21"/>
    <n v="1"/>
    <n v="24.76"/>
    <s v="Low"/>
  </r>
  <r>
    <s v="Team A"/>
    <s v="Agent_7"/>
    <s v="Thursday"/>
    <s v="Afternoon"/>
    <s v="6+ months"/>
    <n v="31"/>
    <n v="8.0399999999999991"/>
    <n v="0.06"/>
    <n v="0.87"/>
    <x v="68"/>
    <n v="0"/>
    <n v="27.06"/>
    <s v="Low"/>
  </r>
  <r>
    <s v="Team A"/>
    <s v="Agent_7"/>
    <s v="Thursday"/>
    <s v="Evening"/>
    <s v="3-6 months"/>
    <n v="62"/>
    <n v="7.62"/>
    <n v="0.12"/>
    <n v="0.73"/>
    <x v="24"/>
    <n v="1"/>
    <n v="28.43"/>
    <s v="High"/>
  </r>
  <r>
    <s v="Team A"/>
    <s v="Agent_7"/>
    <s v="Friday"/>
    <s v="Morning"/>
    <s v="0-3 months"/>
    <n v="40"/>
    <n v="5.8"/>
    <n v="0.2"/>
    <n v="0.81"/>
    <x v="53"/>
    <n v="0"/>
    <n v="23.7"/>
    <s v="Low"/>
  </r>
  <r>
    <s v="Team A"/>
    <s v="Agent_7"/>
    <s v="Friday"/>
    <s v="Afternoon"/>
    <s v="3-6 months"/>
    <n v="31"/>
    <n v="6.48"/>
    <n v="0.06"/>
    <n v="0.87"/>
    <x v="70"/>
    <n v="1"/>
    <n v="26.72"/>
    <s v="Low"/>
  </r>
  <r>
    <s v="Team A"/>
    <s v="Agent_7"/>
    <s v="Friday"/>
    <s v="Evening"/>
    <s v="6+ months"/>
    <n v="40"/>
    <n v="8.39"/>
    <n v="0.12"/>
    <n v="0.63"/>
    <x v="33"/>
    <n v="1"/>
    <n v="29.58"/>
    <s v="High"/>
  </r>
  <r>
    <s v="Team A"/>
    <s v="Agent_8"/>
    <s v="Monday"/>
    <s v="Morning"/>
    <s v="3-6 months"/>
    <n v="40"/>
    <n v="5.4"/>
    <n v="0.14000000000000001"/>
    <n v="0.78"/>
    <x v="71"/>
    <n v="1"/>
    <n v="25.1"/>
    <s v="Low"/>
  </r>
  <r>
    <s v="Team A"/>
    <s v="Agent_8"/>
    <s v="Monday"/>
    <s v="Afternoon"/>
    <s v="3-6 months"/>
    <n v="58"/>
    <n v="6.34"/>
    <n v="0.05"/>
    <n v="0.77"/>
    <x v="72"/>
    <n v="2"/>
    <n v="28.51"/>
    <s v="High"/>
  </r>
  <r>
    <s v="Team A"/>
    <s v="Agent_8"/>
    <s v="Monday"/>
    <s v="Evening"/>
    <s v="3-6 months"/>
    <n v="55"/>
    <n v="5.59"/>
    <n v="0.14000000000000001"/>
    <n v="0.68"/>
    <x v="57"/>
    <n v="1"/>
    <n v="25.38"/>
    <s v="Low"/>
  </r>
  <r>
    <s v="Team A"/>
    <s v="Agent_8"/>
    <s v="Tuesday"/>
    <s v="Morning"/>
    <s v="3-6 months"/>
    <n v="69"/>
    <n v="5.32"/>
    <n v="0.06"/>
    <n v="0.86"/>
    <x v="34"/>
    <n v="0"/>
    <n v="22.98"/>
    <s v="Low"/>
  </r>
  <r>
    <s v="Team A"/>
    <s v="Agent_8"/>
    <s v="Tuesday"/>
    <s v="Afternoon"/>
    <s v="6+ months"/>
    <n v="31"/>
    <n v="3.77"/>
    <n v="0.09"/>
    <n v="0.89"/>
    <x v="73"/>
    <n v="0"/>
    <n v="20.66"/>
    <s v="Low"/>
  </r>
  <r>
    <s v="Team A"/>
    <s v="Agent_8"/>
    <s v="Tuesday"/>
    <s v="Evening"/>
    <s v="6+ months"/>
    <n v="36"/>
    <n v="6.92"/>
    <n v="0.04"/>
    <n v="0.82"/>
    <x v="21"/>
    <n v="1"/>
    <n v="27.38"/>
    <s v="Low"/>
  </r>
  <r>
    <s v="Team A"/>
    <s v="Agent_8"/>
    <s v="Wednesday"/>
    <s v="Morning"/>
    <s v="3-6 months"/>
    <n v="58"/>
    <n v="7.09"/>
    <n v="0.04"/>
    <n v="0.8"/>
    <x v="74"/>
    <n v="1"/>
    <n v="27.64"/>
    <s v="Low"/>
  </r>
  <r>
    <s v="Team A"/>
    <s v="Agent_8"/>
    <s v="Wednesday"/>
    <s v="Afternoon"/>
    <s v="0-3 months"/>
    <n v="51"/>
    <n v="5.95"/>
    <n v="0.24"/>
    <n v="0.77"/>
    <x v="62"/>
    <n v="0"/>
    <n v="23.92"/>
    <s v="Low"/>
  </r>
  <r>
    <s v="Team A"/>
    <s v="Agent_8"/>
    <s v="Wednesday"/>
    <s v="Evening"/>
    <s v="3-6 months"/>
    <n v="44"/>
    <n v="7.84"/>
    <n v="0.12"/>
    <n v="0.64"/>
    <x v="26"/>
    <n v="1"/>
    <n v="28.76"/>
    <s v="High"/>
  </r>
  <r>
    <s v="Team A"/>
    <s v="Agent_8"/>
    <s v="Thursday"/>
    <s v="Morning"/>
    <s v="6+ months"/>
    <n v="60"/>
    <n v="7.33"/>
    <n v="0.11"/>
    <n v="0.84"/>
    <x v="48"/>
    <n v="3"/>
    <n v="32"/>
    <s v="High"/>
  </r>
  <r>
    <s v="Team A"/>
    <s v="Agent_8"/>
    <s v="Thursday"/>
    <s v="Afternoon"/>
    <s v="3-6 months"/>
    <n v="35"/>
    <n v="8"/>
    <n v="7.0000000000000007E-2"/>
    <n v="0.82"/>
    <x v="47"/>
    <n v="0"/>
    <n v="27"/>
    <s v="Low"/>
  </r>
  <r>
    <s v="Team A"/>
    <s v="Agent_8"/>
    <s v="Thursday"/>
    <s v="Evening"/>
    <s v="3-6 months"/>
    <n v="47"/>
    <n v="5.8"/>
    <n v="0.13"/>
    <n v="0.83"/>
    <x v="66"/>
    <n v="1"/>
    <n v="25.7"/>
    <s v="Low"/>
  </r>
  <r>
    <s v="Team A"/>
    <s v="Agent_8"/>
    <s v="Friday"/>
    <s v="Morning"/>
    <s v="6+ months"/>
    <n v="37"/>
    <n v="6.05"/>
    <n v="0.1"/>
    <n v="0.87"/>
    <x v="75"/>
    <n v="0"/>
    <n v="24.08"/>
    <s v="Low"/>
  </r>
  <r>
    <s v="Team A"/>
    <s v="Agent_8"/>
    <s v="Friday"/>
    <s v="Afternoon"/>
    <s v="0-3 months"/>
    <n v="43"/>
    <n v="5.01"/>
    <n v="0.3"/>
    <n v="0.88"/>
    <x v="76"/>
    <n v="2"/>
    <n v="26.52"/>
    <s v="Low"/>
  </r>
  <r>
    <s v="Team A"/>
    <s v="Agent_8"/>
    <s v="Friday"/>
    <s v="Evening"/>
    <s v="6+ months"/>
    <n v="69"/>
    <n v="5.87"/>
    <n v="0.1"/>
    <n v="0.69"/>
    <x v="77"/>
    <n v="0"/>
    <n v="23.8"/>
    <s v="Low"/>
  </r>
  <r>
    <s v="Team A"/>
    <s v="Agent_9"/>
    <s v="Monday"/>
    <s v="Morning"/>
    <s v="6+ months"/>
    <n v="55"/>
    <n v="4.99"/>
    <n v="0.09"/>
    <n v="0.89"/>
    <x v="78"/>
    <n v="0"/>
    <n v="22.48"/>
    <s v="Low"/>
  </r>
  <r>
    <s v="Team A"/>
    <s v="Agent_9"/>
    <s v="Monday"/>
    <s v="Afternoon"/>
    <s v="6+ months"/>
    <n v="46"/>
    <n v="4.3499999999999996"/>
    <n v="0.1"/>
    <n v="0.75"/>
    <x v="79"/>
    <n v="0"/>
    <n v="21.52"/>
    <s v="Low"/>
  </r>
  <r>
    <s v="Team A"/>
    <s v="Agent_9"/>
    <s v="Monday"/>
    <s v="Evening"/>
    <s v="3-6 months"/>
    <n v="35"/>
    <n v="5.28"/>
    <n v="0.05"/>
    <n v="0.65"/>
    <x v="80"/>
    <n v="3"/>
    <n v="28.92"/>
    <s v="High"/>
  </r>
  <r>
    <s v="Team A"/>
    <s v="Agent_9"/>
    <s v="Tuesday"/>
    <s v="Morning"/>
    <s v="3-6 months"/>
    <n v="49"/>
    <n v="6.91"/>
    <n v="7.0000000000000007E-2"/>
    <n v="0.76"/>
    <x v="81"/>
    <n v="0"/>
    <n v="25.36"/>
    <s v="Low"/>
  </r>
  <r>
    <s v="Team A"/>
    <s v="Agent_9"/>
    <s v="Tuesday"/>
    <s v="Afternoon"/>
    <s v="3-6 months"/>
    <n v="42"/>
    <n v="4.6399999999999997"/>
    <n v="0.12"/>
    <n v="0.8"/>
    <x v="82"/>
    <n v="1"/>
    <n v="23.96"/>
    <s v="Low"/>
  </r>
  <r>
    <s v="Team A"/>
    <s v="Agent_9"/>
    <s v="Tuesday"/>
    <s v="Evening"/>
    <s v="3-6 months"/>
    <n v="45"/>
    <n v="4.09"/>
    <n v="0.09"/>
    <n v="0.62"/>
    <x v="49"/>
    <n v="0"/>
    <n v="21.14"/>
    <s v="Low"/>
  </r>
  <r>
    <s v="Team A"/>
    <s v="Agent_9"/>
    <s v="Wednesday"/>
    <s v="Morning"/>
    <s v="3-6 months"/>
    <n v="57"/>
    <n v="5.44"/>
    <n v="0.12"/>
    <n v="0.77"/>
    <x v="83"/>
    <n v="0"/>
    <n v="23.16"/>
    <s v="Low"/>
  </r>
  <r>
    <s v="Team A"/>
    <s v="Agent_9"/>
    <s v="Wednesday"/>
    <s v="Afternoon"/>
    <s v="6+ months"/>
    <n v="39"/>
    <n v="2.4300000000000002"/>
    <n v="0.06"/>
    <n v="0.85"/>
    <x v="28"/>
    <n v="0"/>
    <n v="18.64"/>
    <s v="Low"/>
  </r>
  <r>
    <s v="Team A"/>
    <s v="Agent_9"/>
    <s v="Wednesday"/>
    <s v="Evening"/>
    <s v="0-3 months"/>
    <n v="79"/>
    <n v="5.74"/>
    <n v="0.19"/>
    <n v="0.66"/>
    <x v="84"/>
    <n v="0"/>
    <n v="23.61"/>
    <s v="Low"/>
  </r>
  <r>
    <s v="Team A"/>
    <s v="Agent_9"/>
    <s v="Thursday"/>
    <s v="Morning"/>
    <s v="3-6 months"/>
    <n v="76"/>
    <n v="7.02"/>
    <n v="0.09"/>
    <n v="0.88"/>
    <x v="51"/>
    <n v="1"/>
    <n v="27.53"/>
    <s v="Low"/>
  </r>
  <r>
    <s v="Team A"/>
    <s v="Agent_9"/>
    <s v="Thursday"/>
    <s v="Afternoon"/>
    <s v="6+ months"/>
    <n v="53"/>
    <n v="6.71"/>
    <n v="0.13"/>
    <n v="0.81"/>
    <x v="11"/>
    <n v="0"/>
    <n v="25.06"/>
    <s v="Low"/>
  </r>
  <r>
    <s v="Team A"/>
    <s v="Agent_9"/>
    <s v="Thursday"/>
    <s v="Evening"/>
    <s v="0-3 months"/>
    <n v="77"/>
    <n v="6.44"/>
    <n v="7.0000000000000007E-2"/>
    <n v="0.76"/>
    <x v="85"/>
    <n v="2"/>
    <n v="28.66"/>
    <s v="High"/>
  </r>
  <r>
    <s v="Team A"/>
    <s v="Agent_9"/>
    <s v="Friday"/>
    <s v="Morning"/>
    <s v="0-3 months"/>
    <n v="48"/>
    <n v="4.33"/>
    <n v="0.27"/>
    <n v="0.87"/>
    <x v="35"/>
    <n v="0"/>
    <n v="21.5"/>
    <s v="Low"/>
  </r>
  <r>
    <s v="Team A"/>
    <s v="Agent_9"/>
    <s v="Friday"/>
    <s v="Afternoon"/>
    <s v="3-6 months"/>
    <n v="52"/>
    <n v="7.76"/>
    <n v="0.02"/>
    <n v="0.87"/>
    <x v="78"/>
    <n v="1"/>
    <n v="28.64"/>
    <s v="High"/>
  </r>
  <r>
    <s v="Team A"/>
    <s v="Agent_9"/>
    <s v="Friday"/>
    <s v="Evening"/>
    <s v="3-6 months"/>
    <n v="73"/>
    <n v="5.64"/>
    <n v="0.09"/>
    <n v="0.85"/>
    <x v="82"/>
    <n v="0"/>
    <n v="23.46"/>
    <s v="Low"/>
  </r>
  <r>
    <s v="Team A"/>
    <s v="Agent_10"/>
    <s v="Monday"/>
    <s v="Morning"/>
    <s v="3-6 months"/>
    <n v="46"/>
    <n v="6.26"/>
    <n v="0.05"/>
    <n v="0.83"/>
    <x v="27"/>
    <n v="0"/>
    <n v="24.39"/>
    <s v="Low"/>
  </r>
  <r>
    <s v="Team A"/>
    <s v="Agent_10"/>
    <s v="Monday"/>
    <s v="Afternoon"/>
    <s v="0-3 months"/>
    <n v="72"/>
    <n v="4.96"/>
    <n v="0.28000000000000003"/>
    <n v="0.85"/>
    <x v="86"/>
    <n v="2"/>
    <n v="26.44"/>
    <s v="Low"/>
  </r>
  <r>
    <s v="Team A"/>
    <s v="Agent_10"/>
    <s v="Monday"/>
    <s v="Evening"/>
    <s v="3-6 months"/>
    <n v="71"/>
    <n v="5.78"/>
    <n v="0.09"/>
    <n v="0.67"/>
    <x v="51"/>
    <n v="1"/>
    <n v="25.67"/>
    <s v="Low"/>
  </r>
  <r>
    <s v="Team A"/>
    <s v="Agent_10"/>
    <s v="Tuesday"/>
    <s v="Morning"/>
    <s v="6+ months"/>
    <n v="52"/>
    <n v="5.0999999999999996"/>
    <n v="0.12"/>
    <n v="0.79"/>
    <x v="27"/>
    <n v="0"/>
    <n v="22.65"/>
    <s v="Low"/>
  </r>
  <r>
    <s v="Team A"/>
    <s v="Agent_10"/>
    <s v="Tuesday"/>
    <s v="Afternoon"/>
    <s v="3-6 months"/>
    <n v="46"/>
    <n v="5.09"/>
    <n v="7.0000000000000007E-2"/>
    <n v="0.81"/>
    <x v="80"/>
    <n v="0"/>
    <n v="22.64"/>
    <s v="Low"/>
  </r>
  <r>
    <s v="Team A"/>
    <s v="Agent_10"/>
    <s v="Tuesday"/>
    <s v="Evening"/>
    <s v="0-3 months"/>
    <n v="72"/>
    <n v="5.77"/>
    <n v="0.28000000000000003"/>
    <n v="0.78"/>
    <x v="14"/>
    <n v="2"/>
    <n v="27.66"/>
    <s v="Low"/>
  </r>
  <r>
    <s v="Team A"/>
    <s v="Agent_10"/>
    <s v="Wednesday"/>
    <s v="Morning"/>
    <s v="3-6 months"/>
    <n v="53"/>
    <n v="7.21"/>
    <n v="0.14000000000000001"/>
    <n v="0.86"/>
    <x v="44"/>
    <n v="0"/>
    <n v="25.82"/>
    <s v="Low"/>
  </r>
  <r>
    <s v="Team A"/>
    <s v="Agent_10"/>
    <s v="Wednesday"/>
    <s v="Afternoon"/>
    <s v="0-3 months"/>
    <n v="64"/>
    <n v="6.24"/>
    <n v="0.28999999999999998"/>
    <n v="0.77"/>
    <x v="73"/>
    <n v="0"/>
    <n v="24.36"/>
    <s v="Low"/>
  </r>
  <r>
    <s v="Team A"/>
    <s v="Agent_10"/>
    <s v="Wednesday"/>
    <s v="Evening"/>
    <s v="3-6 months"/>
    <n v="69"/>
    <n v="6.23"/>
    <n v="0.11"/>
    <n v="0.72"/>
    <x v="86"/>
    <n v="0"/>
    <n v="24.34"/>
    <s v="Low"/>
  </r>
  <r>
    <s v="Team A"/>
    <s v="Agent_10"/>
    <s v="Thursday"/>
    <s v="Morning"/>
    <s v="0-3 months"/>
    <n v="32"/>
    <n v="5.69"/>
    <n v="0.25"/>
    <n v="0.89"/>
    <x v="87"/>
    <n v="1"/>
    <n v="25.54"/>
    <s v="Low"/>
  </r>
  <r>
    <s v="Team A"/>
    <s v="Agent_10"/>
    <s v="Thursday"/>
    <s v="Afternoon"/>
    <s v="3-6 months"/>
    <n v="41"/>
    <n v="5.34"/>
    <n v="0.09"/>
    <n v="0.88"/>
    <x v="88"/>
    <n v="2"/>
    <n v="27.01"/>
    <s v="Low"/>
  </r>
  <r>
    <s v="Team A"/>
    <s v="Agent_10"/>
    <s v="Thursday"/>
    <s v="Evening"/>
    <s v="3-6 months"/>
    <n v="45"/>
    <n v="5.55"/>
    <n v="0.08"/>
    <n v="0.66"/>
    <x v="55"/>
    <n v="2"/>
    <n v="27.32"/>
    <s v="Low"/>
  </r>
  <r>
    <s v="Team A"/>
    <s v="Agent_10"/>
    <s v="Friday"/>
    <s v="Morning"/>
    <s v="0-3 months"/>
    <n v="39"/>
    <n v="6.63"/>
    <n v="0.2"/>
    <n v="0.9"/>
    <x v="51"/>
    <n v="0"/>
    <n v="24.94"/>
    <s v="Low"/>
  </r>
  <r>
    <s v="Team A"/>
    <s v="Agent_10"/>
    <s v="Friday"/>
    <s v="Afternoon"/>
    <s v="3-6 months"/>
    <n v="44"/>
    <n v="4.92"/>
    <n v="0.14000000000000001"/>
    <n v="0.9"/>
    <x v="47"/>
    <n v="0"/>
    <n v="22.38"/>
    <s v="Low"/>
  </r>
  <r>
    <s v="Team A"/>
    <s v="Agent_10"/>
    <s v="Friday"/>
    <s v="Evening"/>
    <s v="6+ months"/>
    <n v="68"/>
    <n v="7.05"/>
    <n v="0.08"/>
    <n v="0.73"/>
    <x v="89"/>
    <n v="1"/>
    <n v="27.58"/>
    <s v="Low"/>
  </r>
  <r>
    <s v="Team B"/>
    <s v="Agent_1"/>
    <s v="Monday"/>
    <s v="Morning"/>
    <s v="3-6 months"/>
    <n v="73"/>
    <n v="6.46"/>
    <n v="0.11"/>
    <n v="0.76"/>
    <x v="45"/>
    <n v="0"/>
    <n v="24.69"/>
    <s v="Low"/>
  </r>
  <r>
    <s v="Team B"/>
    <s v="Agent_1"/>
    <s v="Monday"/>
    <s v="Afternoon"/>
    <s v="6+ months"/>
    <n v="54"/>
    <n v="8.7799999999999994"/>
    <n v="0.12"/>
    <n v="0.83"/>
    <x v="6"/>
    <n v="2"/>
    <n v="32.17"/>
    <s v="High"/>
  </r>
  <r>
    <s v="Team B"/>
    <s v="Agent_1"/>
    <s v="Monday"/>
    <s v="Evening"/>
    <s v="3-6 months"/>
    <n v="64"/>
    <n v="7.58"/>
    <n v="0.14000000000000001"/>
    <n v="0.8"/>
    <x v="81"/>
    <n v="0"/>
    <n v="26.37"/>
    <s v="Low"/>
  </r>
  <r>
    <s v="Team B"/>
    <s v="Agent_1"/>
    <s v="Tuesday"/>
    <s v="Morning"/>
    <s v="6+ months"/>
    <n v="58"/>
    <n v="8.57"/>
    <n v="0.02"/>
    <n v="0.82"/>
    <x v="90"/>
    <n v="0"/>
    <n v="27.86"/>
    <s v="High"/>
  </r>
  <r>
    <s v="Team B"/>
    <s v="Agent_1"/>
    <s v="Tuesday"/>
    <s v="Afternoon"/>
    <s v="3-6 months"/>
    <n v="59"/>
    <n v="5.82"/>
    <n v="0.12"/>
    <n v="0.79"/>
    <x v="13"/>
    <n v="0"/>
    <n v="23.73"/>
    <s v="Low"/>
  </r>
  <r>
    <s v="Team B"/>
    <s v="Agent_1"/>
    <s v="Tuesday"/>
    <s v="Evening"/>
    <s v="0-3 months"/>
    <n v="33"/>
    <n v="5.74"/>
    <n v="0.23"/>
    <n v="0.75"/>
    <x v="32"/>
    <n v="2"/>
    <n v="27.61"/>
    <s v="Low"/>
  </r>
  <r>
    <s v="Team B"/>
    <s v="Agent_1"/>
    <s v="Wednesday"/>
    <s v="Morning"/>
    <s v="0-3 months"/>
    <n v="44"/>
    <n v="9.0500000000000007"/>
    <n v="0.1"/>
    <n v="0.89"/>
    <x v="91"/>
    <n v="0"/>
    <n v="28.58"/>
    <s v="High"/>
  </r>
  <r>
    <s v="Team B"/>
    <s v="Agent_1"/>
    <s v="Wednesday"/>
    <s v="Afternoon"/>
    <s v="3-6 months"/>
    <n v="75"/>
    <n v="6.5"/>
    <n v="0.1"/>
    <n v="0.89"/>
    <x v="92"/>
    <n v="1"/>
    <n v="26.75"/>
    <s v="Low"/>
  </r>
  <r>
    <s v="Team B"/>
    <s v="Agent_1"/>
    <s v="Wednesday"/>
    <s v="Evening"/>
    <s v="0-3 months"/>
    <n v="37"/>
    <n v="7.67"/>
    <n v="0.2"/>
    <n v="0.73"/>
    <x v="26"/>
    <n v="0"/>
    <n v="26.5"/>
    <s v="Low"/>
  </r>
  <r>
    <s v="Team B"/>
    <s v="Agent_1"/>
    <s v="Thursday"/>
    <s v="Morning"/>
    <s v="0-3 months"/>
    <n v="78"/>
    <n v="7.99"/>
    <n v="0.28999999999999998"/>
    <n v="0.87"/>
    <x v="93"/>
    <n v="1"/>
    <n v="28.98"/>
    <s v="High"/>
  </r>
  <r>
    <s v="Team B"/>
    <s v="Agent_1"/>
    <s v="Thursday"/>
    <s v="Afternoon"/>
    <s v="0-3 months"/>
    <n v="38"/>
    <n v="7.13"/>
    <n v="0.24"/>
    <n v="0.85"/>
    <x v="94"/>
    <n v="2"/>
    <n v="29.7"/>
    <s v="High"/>
  </r>
  <r>
    <s v="Team B"/>
    <s v="Agent_1"/>
    <s v="Thursday"/>
    <s v="Evening"/>
    <s v="0-3 months"/>
    <n v="76"/>
    <n v="6.33"/>
    <n v="0.06"/>
    <n v="0.82"/>
    <x v="95"/>
    <n v="0"/>
    <n v="24.5"/>
    <s v="Low"/>
  </r>
  <r>
    <s v="Team B"/>
    <s v="Agent_1"/>
    <s v="Friday"/>
    <s v="Morning"/>
    <s v="3-6 months"/>
    <n v="57"/>
    <n v="6.9"/>
    <n v="0.13"/>
    <n v="0.76"/>
    <x v="83"/>
    <n v="2"/>
    <n v="29.35"/>
    <s v="High"/>
  </r>
  <r>
    <s v="Team B"/>
    <s v="Agent_1"/>
    <s v="Friday"/>
    <s v="Afternoon"/>
    <s v="6+ months"/>
    <n v="63"/>
    <n v="7.47"/>
    <n v="7.0000000000000007E-2"/>
    <n v="0.81"/>
    <x v="96"/>
    <n v="1"/>
    <n v="28.2"/>
    <s v="High"/>
  </r>
  <r>
    <s v="Team B"/>
    <s v="Agent_1"/>
    <s v="Friday"/>
    <s v="Evening"/>
    <s v="3-6 months"/>
    <n v="35"/>
    <n v="8.41"/>
    <n v="0.09"/>
    <n v="0.77"/>
    <x v="8"/>
    <n v="2"/>
    <n v="31.62"/>
    <s v="High"/>
  </r>
  <r>
    <s v="Team B"/>
    <s v="Agent_2"/>
    <s v="Monday"/>
    <s v="Morning"/>
    <s v="6+ months"/>
    <n v="53"/>
    <n v="7.54"/>
    <n v="0.12"/>
    <n v="0.85"/>
    <x v="33"/>
    <n v="2"/>
    <n v="30.31"/>
    <s v="High"/>
  </r>
  <r>
    <s v="Team B"/>
    <s v="Agent_2"/>
    <s v="Monday"/>
    <s v="Afternoon"/>
    <s v="6+ months"/>
    <n v="72"/>
    <n v="7.82"/>
    <n v="0.04"/>
    <n v="0.88"/>
    <x v="19"/>
    <n v="0"/>
    <n v="26.73"/>
    <s v="Low"/>
  </r>
  <r>
    <s v="Team B"/>
    <s v="Agent_2"/>
    <s v="Monday"/>
    <s v="Evening"/>
    <s v="6+ months"/>
    <n v="71"/>
    <n v="6.87"/>
    <n v="0.04"/>
    <n v="0.68"/>
    <x v="77"/>
    <n v="0"/>
    <n v="25.3"/>
    <s v="Low"/>
  </r>
  <r>
    <s v="Team B"/>
    <s v="Agent_2"/>
    <s v="Tuesday"/>
    <s v="Morning"/>
    <s v="6+ months"/>
    <n v="43"/>
    <n v="6.69"/>
    <n v="0.05"/>
    <n v="0.76"/>
    <x v="23"/>
    <n v="0"/>
    <n v="25.04"/>
    <s v="Low"/>
  </r>
  <r>
    <s v="Team B"/>
    <s v="Agent_2"/>
    <s v="Tuesday"/>
    <s v="Afternoon"/>
    <s v="0-3 months"/>
    <n v="63"/>
    <n v="8.36"/>
    <n v="0.21"/>
    <n v="0.83"/>
    <x v="49"/>
    <n v="0"/>
    <n v="27.54"/>
    <s v="Low"/>
  </r>
  <r>
    <s v="Team B"/>
    <s v="Agent_2"/>
    <s v="Tuesday"/>
    <s v="Evening"/>
    <s v="6+ months"/>
    <n v="39"/>
    <n v="8.69"/>
    <n v="7.0000000000000007E-2"/>
    <n v="0.64"/>
    <x v="97"/>
    <n v="1"/>
    <n v="30.04"/>
    <s v="High"/>
  </r>
  <r>
    <s v="Team B"/>
    <s v="Agent_2"/>
    <s v="Wednesday"/>
    <s v="Morning"/>
    <s v="0-3 months"/>
    <n v="65"/>
    <n v="7.26"/>
    <n v="7.0000000000000007E-2"/>
    <n v="0.8"/>
    <x v="24"/>
    <n v="0"/>
    <n v="25.89"/>
    <s v="Low"/>
  </r>
  <r>
    <s v="Team B"/>
    <s v="Agent_2"/>
    <s v="Wednesday"/>
    <s v="Afternoon"/>
    <s v="3-6 months"/>
    <n v="30"/>
    <n v="6.91"/>
    <n v="0.1"/>
    <n v="0.84"/>
    <x v="52"/>
    <n v="0"/>
    <n v="25.36"/>
    <s v="Low"/>
  </r>
  <r>
    <s v="Team B"/>
    <s v="Agent_2"/>
    <s v="Wednesday"/>
    <s v="Evening"/>
    <s v="6+ months"/>
    <n v="76"/>
    <n v="9.41"/>
    <n v="0.08"/>
    <n v="0.79"/>
    <x v="86"/>
    <n v="0"/>
    <n v="29.12"/>
    <s v="High"/>
  </r>
  <r>
    <s v="Team B"/>
    <s v="Agent_2"/>
    <s v="Thursday"/>
    <s v="Morning"/>
    <s v="0-3 months"/>
    <n v="58"/>
    <n v="7.59"/>
    <n v="0.26"/>
    <n v="0.79"/>
    <x v="36"/>
    <n v="1"/>
    <n v="28.38"/>
    <s v="High"/>
  </r>
  <r>
    <s v="Team B"/>
    <s v="Agent_2"/>
    <s v="Thursday"/>
    <s v="Afternoon"/>
    <s v="0-3 months"/>
    <n v="40"/>
    <n v="8.67"/>
    <n v="0.12"/>
    <n v="0.89"/>
    <x v="94"/>
    <n v="0"/>
    <n v="28"/>
    <s v="High"/>
  </r>
  <r>
    <s v="Team B"/>
    <s v="Agent_2"/>
    <s v="Thursday"/>
    <s v="Evening"/>
    <s v="6+ months"/>
    <n v="45"/>
    <n v="7.16"/>
    <n v="0.06"/>
    <n v="0.68"/>
    <x v="98"/>
    <n v="1"/>
    <n v="27.74"/>
    <s v="High"/>
  </r>
  <r>
    <s v="Team B"/>
    <s v="Agent_2"/>
    <s v="Friday"/>
    <s v="Morning"/>
    <s v="0-3 months"/>
    <n v="78"/>
    <n v="9.0500000000000007"/>
    <n v="0.21"/>
    <n v="0.81"/>
    <x v="95"/>
    <n v="0"/>
    <n v="28.58"/>
    <s v="High"/>
  </r>
  <r>
    <s v="Team B"/>
    <s v="Agent_2"/>
    <s v="Friday"/>
    <s v="Afternoon"/>
    <s v="6+ months"/>
    <n v="75"/>
    <n v="7.34"/>
    <n v="0.09"/>
    <n v="0.75"/>
    <x v="93"/>
    <n v="0"/>
    <n v="26.01"/>
    <s v="Low"/>
  </r>
  <r>
    <s v="Team B"/>
    <s v="Agent_2"/>
    <s v="Friday"/>
    <s v="Evening"/>
    <s v="6+ months"/>
    <n v="32"/>
    <n v="6.31"/>
    <n v="0.04"/>
    <n v="0.72"/>
    <x v="99"/>
    <n v="0"/>
    <n v="24.46"/>
    <s v="Low"/>
  </r>
  <r>
    <s v="Team B"/>
    <s v="Agent_3"/>
    <s v="Monday"/>
    <s v="Morning"/>
    <s v="3-6 months"/>
    <n v="49"/>
    <n v="6.14"/>
    <n v="0.08"/>
    <n v="0.76"/>
    <x v="57"/>
    <n v="0"/>
    <n v="24.21"/>
    <s v="Low"/>
  </r>
  <r>
    <s v="Team B"/>
    <s v="Agent_3"/>
    <s v="Monday"/>
    <s v="Afternoon"/>
    <s v="6+ months"/>
    <n v="40"/>
    <n v="7.18"/>
    <n v="0.15"/>
    <n v="0.77"/>
    <x v="43"/>
    <n v="1"/>
    <n v="27.77"/>
    <s v="High"/>
  </r>
  <r>
    <s v="Team B"/>
    <s v="Agent_3"/>
    <s v="Monday"/>
    <s v="Evening"/>
    <s v="3-6 months"/>
    <n v="76"/>
    <n v="5.92"/>
    <n v="0.11"/>
    <n v="0.82"/>
    <x v="49"/>
    <n v="0"/>
    <n v="23.88"/>
    <s v="Low"/>
  </r>
  <r>
    <s v="Team B"/>
    <s v="Agent_3"/>
    <s v="Tuesday"/>
    <s v="Morning"/>
    <s v="3-6 months"/>
    <n v="53"/>
    <n v="8.26"/>
    <n v="0.04"/>
    <n v="0.77"/>
    <x v="50"/>
    <n v="0"/>
    <n v="27.39"/>
    <s v="Low"/>
  </r>
  <r>
    <s v="Team B"/>
    <s v="Agent_3"/>
    <s v="Tuesday"/>
    <s v="Afternoon"/>
    <s v="3-6 months"/>
    <n v="57"/>
    <n v="8.02"/>
    <n v="0.02"/>
    <n v="0.8"/>
    <x v="80"/>
    <n v="0"/>
    <n v="27.03"/>
    <s v="Low"/>
  </r>
  <r>
    <s v="Team B"/>
    <s v="Agent_3"/>
    <s v="Tuesday"/>
    <s v="Evening"/>
    <s v="3-6 months"/>
    <n v="62"/>
    <n v="9.2799999999999994"/>
    <n v="0.13"/>
    <n v="0.69"/>
    <x v="23"/>
    <n v="3"/>
    <n v="34.92"/>
    <s v="High"/>
  </r>
  <r>
    <s v="Team B"/>
    <s v="Agent_3"/>
    <s v="Wednesday"/>
    <s v="Morning"/>
    <s v="0-3 months"/>
    <n v="79"/>
    <n v="7.85"/>
    <n v="0.08"/>
    <n v="0.88"/>
    <x v="100"/>
    <n v="1"/>
    <n v="28.78"/>
    <s v="High"/>
  </r>
  <r>
    <s v="Team B"/>
    <s v="Agent_3"/>
    <s v="Wednesday"/>
    <s v="Afternoon"/>
    <s v="3-6 months"/>
    <n v="70"/>
    <n v="7.63"/>
    <n v="0.11"/>
    <n v="0.88"/>
    <x v="12"/>
    <n v="2"/>
    <n v="30.44"/>
    <s v="High"/>
  </r>
  <r>
    <s v="Team B"/>
    <s v="Agent_3"/>
    <s v="Wednesday"/>
    <s v="Evening"/>
    <s v="3-6 months"/>
    <n v="36"/>
    <n v="8.15"/>
    <n v="0.1"/>
    <n v="0.8"/>
    <x v="101"/>
    <n v="0"/>
    <n v="27.22"/>
    <s v="Low"/>
  </r>
  <r>
    <s v="Team B"/>
    <s v="Agent_3"/>
    <s v="Thursday"/>
    <s v="Morning"/>
    <s v="0-3 months"/>
    <n v="43"/>
    <n v="9.48"/>
    <n v="7.0000000000000007E-2"/>
    <n v="0.76"/>
    <x v="74"/>
    <n v="0"/>
    <n v="29.22"/>
    <s v="High"/>
  </r>
  <r>
    <s v="Team B"/>
    <s v="Agent_3"/>
    <s v="Thursday"/>
    <s v="Afternoon"/>
    <s v="6+ months"/>
    <n v="48"/>
    <n v="8.02"/>
    <n v="0.11"/>
    <n v="0.82"/>
    <x v="51"/>
    <n v="1"/>
    <n v="29.03"/>
    <s v="High"/>
  </r>
  <r>
    <s v="Team B"/>
    <s v="Agent_3"/>
    <s v="Thursday"/>
    <s v="Evening"/>
    <s v="0-3 months"/>
    <n v="61"/>
    <n v="6.93"/>
    <n v="0.19"/>
    <n v="0.72"/>
    <x v="102"/>
    <n v="0"/>
    <n v="25.4"/>
    <s v="Low"/>
  </r>
  <r>
    <s v="Team B"/>
    <s v="Agent_3"/>
    <s v="Friday"/>
    <s v="Morning"/>
    <s v="0-3 months"/>
    <n v="44"/>
    <n v="7.24"/>
    <n v="0.27"/>
    <n v="0.86"/>
    <x v="77"/>
    <n v="0"/>
    <n v="25.86"/>
    <s v="Low"/>
  </r>
  <r>
    <s v="Team B"/>
    <s v="Agent_3"/>
    <s v="Friday"/>
    <s v="Afternoon"/>
    <s v="3-6 months"/>
    <n v="73"/>
    <n v="5.83"/>
    <n v="0.12"/>
    <n v="0.83"/>
    <x v="8"/>
    <n v="0"/>
    <n v="23.74"/>
    <s v="Low"/>
  </r>
  <r>
    <s v="Team B"/>
    <s v="Agent_3"/>
    <s v="Friday"/>
    <s v="Evening"/>
    <s v="3-6 months"/>
    <n v="63"/>
    <n v="8.58"/>
    <n v="0.14000000000000001"/>
    <n v="0.71"/>
    <x v="32"/>
    <n v="0"/>
    <n v="27.87"/>
    <s v="High"/>
  </r>
  <r>
    <s v="Team B"/>
    <s v="Agent_4"/>
    <s v="Monday"/>
    <s v="Morning"/>
    <s v="6+ months"/>
    <n v="41"/>
    <n v="7.46"/>
    <n v="7.0000000000000007E-2"/>
    <n v="0.82"/>
    <x v="36"/>
    <n v="0"/>
    <n v="26.19"/>
    <s v="Low"/>
  </r>
  <r>
    <s v="Team B"/>
    <s v="Agent_4"/>
    <s v="Monday"/>
    <s v="Afternoon"/>
    <s v="6+ months"/>
    <n v="65"/>
    <n v="7.82"/>
    <n v="0.08"/>
    <n v="0.79"/>
    <x v="42"/>
    <n v="0"/>
    <n v="26.73"/>
    <s v="Low"/>
  </r>
  <r>
    <s v="Team B"/>
    <s v="Agent_4"/>
    <s v="Monday"/>
    <s v="Evening"/>
    <s v="3-6 months"/>
    <n v="54"/>
    <n v="7.21"/>
    <n v="0.11"/>
    <n v="0.62"/>
    <x v="103"/>
    <n v="0"/>
    <n v="25.82"/>
    <s v="Low"/>
  </r>
  <r>
    <s v="Team B"/>
    <s v="Agent_4"/>
    <s v="Tuesday"/>
    <s v="Morning"/>
    <s v="3-6 months"/>
    <n v="64"/>
    <n v="6.21"/>
    <n v="0.12"/>
    <n v="0.77"/>
    <x v="1"/>
    <n v="0"/>
    <n v="24.32"/>
    <s v="Low"/>
  </r>
  <r>
    <s v="Team B"/>
    <s v="Agent_4"/>
    <s v="Tuesday"/>
    <s v="Afternoon"/>
    <s v="0-3 months"/>
    <n v="32"/>
    <n v="8.66"/>
    <n v="0.16"/>
    <n v="0.8"/>
    <x v="104"/>
    <n v="1"/>
    <n v="29.99"/>
    <s v="High"/>
  </r>
  <r>
    <s v="Team B"/>
    <s v="Agent_4"/>
    <s v="Tuesday"/>
    <s v="Evening"/>
    <s v="0-3 months"/>
    <n v="34"/>
    <n v="8.15"/>
    <n v="0.23"/>
    <n v="0.64"/>
    <x v="105"/>
    <n v="0"/>
    <n v="27.22"/>
    <s v="Low"/>
  </r>
  <r>
    <s v="Team B"/>
    <s v="Agent_4"/>
    <s v="Wednesday"/>
    <s v="Morning"/>
    <s v="6+ months"/>
    <n v="66"/>
    <n v="6.11"/>
    <n v="0.09"/>
    <n v="0.87"/>
    <x v="24"/>
    <n v="0"/>
    <n v="24.16"/>
    <s v="Low"/>
  </r>
  <r>
    <s v="Team B"/>
    <s v="Agent_4"/>
    <s v="Wednesday"/>
    <s v="Afternoon"/>
    <s v="6+ months"/>
    <n v="35"/>
    <n v="7.24"/>
    <n v="0.06"/>
    <n v="0.76"/>
    <x v="106"/>
    <n v="2"/>
    <n v="29.86"/>
    <s v="High"/>
  </r>
  <r>
    <s v="Team B"/>
    <s v="Agent_4"/>
    <s v="Wednesday"/>
    <s v="Evening"/>
    <s v="0-3 months"/>
    <n v="64"/>
    <n v="7.3"/>
    <n v="0.16"/>
    <n v="0.83"/>
    <x v="45"/>
    <n v="0"/>
    <n v="25.95"/>
    <s v="Low"/>
  </r>
  <r>
    <s v="Team B"/>
    <s v="Agent_4"/>
    <s v="Thursday"/>
    <s v="Morning"/>
    <s v="0-3 months"/>
    <n v="71"/>
    <n v="7.02"/>
    <n v="0.22"/>
    <n v="0.75"/>
    <x v="23"/>
    <n v="3"/>
    <n v="31.53"/>
    <s v="High"/>
  </r>
  <r>
    <s v="Team B"/>
    <s v="Agent_4"/>
    <s v="Thursday"/>
    <s v="Afternoon"/>
    <s v="3-6 months"/>
    <n v="76"/>
    <n v="5.04"/>
    <n v="0.09"/>
    <n v="0.8"/>
    <x v="106"/>
    <n v="0"/>
    <n v="22.56"/>
    <s v="Low"/>
  </r>
  <r>
    <s v="Team B"/>
    <s v="Agent_4"/>
    <s v="Thursday"/>
    <s v="Evening"/>
    <s v="0-3 months"/>
    <n v="45"/>
    <n v="7.56"/>
    <n v="0.09"/>
    <n v="0.65"/>
    <x v="88"/>
    <n v="0"/>
    <n v="26.34"/>
    <s v="Low"/>
  </r>
  <r>
    <s v="Team B"/>
    <s v="Agent_4"/>
    <s v="Friday"/>
    <s v="Morning"/>
    <s v="0-3 months"/>
    <n v="76"/>
    <n v="7.62"/>
    <n v="0.09"/>
    <n v="0.85"/>
    <x v="36"/>
    <n v="2"/>
    <n v="30.43"/>
    <s v="High"/>
  </r>
  <r>
    <s v="Team B"/>
    <s v="Agent_4"/>
    <s v="Friday"/>
    <s v="Afternoon"/>
    <s v="3-6 months"/>
    <n v="79"/>
    <n v="8.17"/>
    <n v="0.13"/>
    <n v="0.87"/>
    <x v="69"/>
    <n v="1"/>
    <n v="29.26"/>
    <s v="High"/>
  </r>
  <r>
    <s v="Team B"/>
    <s v="Agent_4"/>
    <s v="Friday"/>
    <s v="Evening"/>
    <s v="6+ months"/>
    <n v="30"/>
    <n v="6.98"/>
    <n v="0.05"/>
    <n v="0.76"/>
    <x v="107"/>
    <n v="1"/>
    <n v="27.47"/>
    <s v="Low"/>
  </r>
  <r>
    <s v="Team B"/>
    <s v="Agent_5"/>
    <s v="Monday"/>
    <s v="Morning"/>
    <s v="0-3 months"/>
    <n v="57"/>
    <n v="7.84"/>
    <n v="0.13"/>
    <n v="0.88"/>
    <x v="92"/>
    <n v="1"/>
    <n v="28.76"/>
    <s v="High"/>
  </r>
  <r>
    <s v="Team B"/>
    <s v="Agent_5"/>
    <s v="Monday"/>
    <s v="Afternoon"/>
    <s v="0-3 months"/>
    <n v="60"/>
    <n v="6.39"/>
    <n v="0.23"/>
    <n v="0.88"/>
    <x v="28"/>
    <n v="0"/>
    <n v="24.58"/>
    <s v="Low"/>
  </r>
  <r>
    <s v="Team B"/>
    <s v="Agent_5"/>
    <s v="Monday"/>
    <s v="Evening"/>
    <s v="3-6 months"/>
    <n v="35"/>
    <n v="8.2899999999999991"/>
    <n v="7.0000000000000007E-2"/>
    <n v="0.67"/>
    <x v="89"/>
    <n v="0"/>
    <n v="27.44"/>
    <s v="Low"/>
  </r>
  <r>
    <s v="Team B"/>
    <s v="Agent_5"/>
    <s v="Tuesday"/>
    <s v="Morning"/>
    <s v="3-6 months"/>
    <n v="36"/>
    <n v="7.11"/>
    <n v="0.09"/>
    <n v="0.81"/>
    <x v="8"/>
    <n v="0"/>
    <n v="25.66"/>
    <s v="Low"/>
  </r>
  <r>
    <s v="Team B"/>
    <s v="Agent_5"/>
    <s v="Tuesday"/>
    <s v="Afternoon"/>
    <s v="3-6 months"/>
    <n v="64"/>
    <n v="9.14"/>
    <n v="0.1"/>
    <n v="0.82"/>
    <x v="75"/>
    <n v="2"/>
    <n v="32.71"/>
    <s v="High"/>
  </r>
  <r>
    <s v="Team B"/>
    <s v="Agent_5"/>
    <s v="Tuesday"/>
    <s v="Evening"/>
    <s v="3-6 months"/>
    <n v="35"/>
    <n v="8.51"/>
    <n v="0.14000000000000001"/>
    <n v="0.8"/>
    <x v="13"/>
    <n v="0"/>
    <n v="27.76"/>
    <s v="High"/>
  </r>
  <r>
    <s v="Team B"/>
    <s v="Agent_5"/>
    <s v="Wednesday"/>
    <s v="Morning"/>
    <s v="3-6 months"/>
    <n v="44"/>
    <n v="9.83"/>
    <n v="0.12"/>
    <n v="0.87"/>
    <x v="12"/>
    <n v="3"/>
    <n v="35.75"/>
    <s v="High"/>
  </r>
  <r>
    <s v="Team B"/>
    <s v="Agent_5"/>
    <s v="Wednesday"/>
    <s v="Afternoon"/>
    <s v="0-3 months"/>
    <n v="52"/>
    <n v="8.23"/>
    <n v="0.16"/>
    <n v="0.88"/>
    <x v="71"/>
    <n v="3"/>
    <n v="33.340000000000003"/>
    <s v="High"/>
  </r>
  <r>
    <s v="Team B"/>
    <s v="Agent_5"/>
    <s v="Wednesday"/>
    <s v="Evening"/>
    <s v="3-6 months"/>
    <n v="44"/>
    <n v="7.4"/>
    <n v="0.05"/>
    <n v="0.64"/>
    <x v="3"/>
    <n v="0"/>
    <n v="26.1"/>
    <s v="Low"/>
  </r>
  <r>
    <s v="Team B"/>
    <s v="Agent_5"/>
    <s v="Thursday"/>
    <s v="Morning"/>
    <s v="3-6 months"/>
    <n v="58"/>
    <n v="6.09"/>
    <n v="0.12"/>
    <n v="0.83"/>
    <x v="41"/>
    <n v="1"/>
    <n v="26.14"/>
    <s v="Low"/>
  </r>
  <r>
    <s v="Team B"/>
    <s v="Agent_5"/>
    <s v="Thursday"/>
    <s v="Afternoon"/>
    <s v="6+ months"/>
    <n v="78"/>
    <n v="6.44"/>
    <n v="0.13"/>
    <n v="0.87"/>
    <x v="68"/>
    <n v="0"/>
    <n v="24.66"/>
    <s v="Low"/>
  </r>
  <r>
    <s v="Team B"/>
    <s v="Agent_5"/>
    <s v="Thursday"/>
    <s v="Evening"/>
    <s v="6+ months"/>
    <n v="71"/>
    <n v="7.56"/>
    <n v="0.14000000000000001"/>
    <n v="0.71"/>
    <x v="102"/>
    <n v="2"/>
    <n v="30.34"/>
    <s v="High"/>
  </r>
  <r>
    <s v="Team B"/>
    <s v="Agent_5"/>
    <s v="Friday"/>
    <s v="Morning"/>
    <s v="3-6 months"/>
    <n v="74"/>
    <n v="7.97"/>
    <n v="0.1"/>
    <n v="0.87"/>
    <x v="16"/>
    <n v="0"/>
    <n v="26.96"/>
    <s v="Low"/>
  </r>
  <r>
    <s v="Team B"/>
    <s v="Agent_5"/>
    <s v="Friday"/>
    <s v="Afternoon"/>
    <s v="0-3 months"/>
    <n v="39"/>
    <n v="7.64"/>
    <n v="0.09"/>
    <n v="0.8"/>
    <x v="30"/>
    <n v="1"/>
    <n v="28.46"/>
    <s v="High"/>
  </r>
  <r>
    <s v="Team B"/>
    <s v="Agent_5"/>
    <s v="Friday"/>
    <s v="Evening"/>
    <s v="3-6 months"/>
    <n v="56"/>
    <n v="6.78"/>
    <n v="0.13"/>
    <n v="0.71"/>
    <x v="11"/>
    <n v="0"/>
    <n v="25.17"/>
    <s v="Low"/>
  </r>
  <r>
    <s v="Team B"/>
    <s v="Agent_6"/>
    <s v="Monday"/>
    <s v="Morning"/>
    <s v="3-6 months"/>
    <n v="62"/>
    <n v="8.39"/>
    <n v="0.08"/>
    <n v="0.77"/>
    <x v="22"/>
    <n v="2"/>
    <n v="31.58"/>
    <s v="High"/>
  </r>
  <r>
    <s v="Team B"/>
    <s v="Agent_6"/>
    <s v="Monday"/>
    <s v="Afternoon"/>
    <s v="3-6 months"/>
    <n v="50"/>
    <n v="8.7200000000000006"/>
    <n v="0.09"/>
    <n v="0.78"/>
    <x v="107"/>
    <n v="0"/>
    <n v="28.08"/>
    <s v="High"/>
  </r>
  <r>
    <s v="Team B"/>
    <s v="Agent_6"/>
    <s v="Monday"/>
    <s v="Evening"/>
    <s v="3-6 months"/>
    <n v="31"/>
    <n v="9.1199999999999992"/>
    <n v="0.06"/>
    <n v="0.75"/>
    <x v="108"/>
    <n v="0"/>
    <n v="28.68"/>
    <s v="High"/>
  </r>
  <r>
    <s v="Team B"/>
    <s v="Agent_6"/>
    <s v="Tuesday"/>
    <s v="Morning"/>
    <s v="3-6 months"/>
    <n v="70"/>
    <n v="8.07"/>
    <n v="0.06"/>
    <n v="0.76"/>
    <x v="102"/>
    <n v="2"/>
    <n v="31.1"/>
    <s v="High"/>
  </r>
  <r>
    <s v="Team B"/>
    <s v="Agent_6"/>
    <s v="Tuesday"/>
    <s v="Afternoon"/>
    <s v="0-3 months"/>
    <n v="37"/>
    <n v="9.1300000000000008"/>
    <n v="0.14000000000000001"/>
    <n v="0.8"/>
    <x v="3"/>
    <n v="0"/>
    <n v="28.7"/>
    <s v="High"/>
  </r>
  <r>
    <s v="Team B"/>
    <s v="Agent_6"/>
    <s v="Tuesday"/>
    <s v="Evening"/>
    <s v="6+ months"/>
    <n v="34"/>
    <n v="7.7"/>
    <n v="0.06"/>
    <n v="0.75"/>
    <x v="108"/>
    <n v="0"/>
    <n v="26.55"/>
    <s v="Low"/>
  </r>
  <r>
    <s v="Team B"/>
    <s v="Agent_6"/>
    <s v="Wednesday"/>
    <s v="Morning"/>
    <s v="3-6 months"/>
    <n v="51"/>
    <n v="6.9"/>
    <n v="0.11"/>
    <n v="0.9"/>
    <x v="109"/>
    <n v="0"/>
    <n v="25.35"/>
    <s v="Low"/>
  </r>
  <r>
    <s v="Team B"/>
    <s v="Agent_6"/>
    <s v="Wednesday"/>
    <s v="Afternoon"/>
    <s v="6+ months"/>
    <n v="59"/>
    <n v="8.3699999999999992"/>
    <n v="0.03"/>
    <n v="0.89"/>
    <x v="60"/>
    <n v="1"/>
    <n v="29.56"/>
    <s v="High"/>
  </r>
  <r>
    <s v="Team B"/>
    <s v="Agent_6"/>
    <s v="Wednesday"/>
    <s v="Evening"/>
    <s v="0-3 months"/>
    <n v="71"/>
    <n v="5.7"/>
    <n v="7.0000000000000007E-2"/>
    <n v="0.71"/>
    <x v="97"/>
    <n v="0"/>
    <n v="23.55"/>
    <s v="Low"/>
  </r>
  <r>
    <s v="Team B"/>
    <s v="Agent_6"/>
    <s v="Thursday"/>
    <s v="Morning"/>
    <s v="3-6 months"/>
    <n v="49"/>
    <n v="5.16"/>
    <n v="0.04"/>
    <n v="0.9"/>
    <x v="58"/>
    <n v="1"/>
    <n v="24.74"/>
    <s v="Low"/>
  </r>
  <r>
    <s v="Team B"/>
    <s v="Agent_6"/>
    <s v="Thursday"/>
    <s v="Afternoon"/>
    <s v="6+ months"/>
    <n v="30"/>
    <n v="7"/>
    <n v="0.13"/>
    <n v="0.83"/>
    <x v="73"/>
    <n v="0"/>
    <n v="25.5"/>
    <s v="Low"/>
  </r>
  <r>
    <s v="Team B"/>
    <s v="Agent_6"/>
    <s v="Thursday"/>
    <s v="Evening"/>
    <s v="6+ months"/>
    <n v="62"/>
    <n v="7.66"/>
    <n v="0.04"/>
    <n v="0.62"/>
    <x v="69"/>
    <n v="0"/>
    <n v="26.49"/>
    <s v="Low"/>
  </r>
  <r>
    <s v="Team B"/>
    <s v="Agent_6"/>
    <s v="Friday"/>
    <s v="Morning"/>
    <s v="3-6 months"/>
    <n v="70"/>
    <n v="9.9700000000000006"/>
    <n v="0.03"/>
    <n v="0.89"/>
    <x v="51"/>
    <n v="0"/>
    <n v="29.96"/>
    <s v="High"/>
  </r>
  <r>
    <s v="Team B"/>
    <s v="Agent_6"/>
    <s v="Friday"/>
    <s v="Afternoon"/>
    <s v="3-6 months"/>
    <n v="52"/>
    <n v="7.95"/>
    <n v="0.09"/>
    <n v="0.83"/>
    <x v="107"/>
    <n v="0"/>
    <n v="26.92"/>
    <s v="Low"/>
  </r>
  <r>
    <s v="Team B"/>
    <s v="Agent_6"/>
    <s v="Friday"/>
    <s v="Evening"/>
    <s v="3-6 months"/>
    <n v="67"/>
    <n v="6.97"/>
    <n v="0.13"/>
    <n v="0.7"/>
    <x v="59"/>
    <n v="2"/>
    <n v="29.46"/>
    <s v="High"/>
  </r>
  <r>
    <s v="Team B"/>
    <s v="Agent_7"/>
    <s v="Monday"/>
    <s v="Morning"/>
    <s v="6+ months"/>
    <n v="45"/>
    <n v="8.08"/>
    <n v="0.06"/>
    <n v="0.75"/>
    <x v="94"/>
    <n v="0"/>
    <n v="27.12"/>
    <s v="Low"/>
  </r>
  <r>
    <s v="Team B"/>
    <s v="Agent_7"/>
    <s v="Monday"/>
    <s v="Afternoon"/>
    <s v="6+ months"/>
    <n v="47"/>
    <n v="6.98"/>
    <n v="0.1"/>
    <n v="0.87"/>
    <x v="37"/>
    <n v="2"/>
    <n v="29.47"/>
    <s v="High"/>
  </r>
  <r>
    <s v="Team B"/>
    <s v="Agent_7"/>
    <s v="Monday"/>
    <s v="Evening"/>
    <s v="6+ months"/>
    <n v="43"/>
    <n v="6.98"/>
    <n v="0.14000000000000001"/>
    <n v="0.81"/>
    <x v="11"/>
    <n v="0"/>
    <n v="25.47"/>
    <s v="Low"/>
  </r>
  <r>
    <s v="Team B"/>
    <s v="Agent_7"/>
    <s v="Tuesday"/>
    <s v="Morning"/>
    <s v="3-6 months"/>
    <n v="33"/>
    <n v="8.43"/>
    <n v="0.04"/>
    <n v="0.89"/>
    <x v="8"/>
    <n v="3"/>
    <n v="33.64"/>
    <s v="High"/>
  </r>
  <r>
    <s v="Team B"/>
    <s v="Agent_7"/>
    <s v="Tuesday"/>
    <s v="Afternoon"/>
    <s v="3-6 months"/>
    <n v="42"/>
    <n v="8.23"/>
    <n v="0.02"/>
    <n v="0.75"/>
    <x v="54"/>
    <n v="0"/>
    <n v="27.34"/>
    <s v="Low"/>
  </r>
  <r>
    <s v="Team B"/>
    <s v="Agent_7"/>
    <s v="Tuesday"/>
    <s v="Evening"/>
    <s v="3-6 months"/>
    <n v="34"/>
    <n v="7.04"/>
    <n v="0.12"/>
    <n v="0.71"/>
    <x v="110"/>
    <n v="3"/>
    <n v="31.56"/>
    <s v="High"/>
  </r>
  <r>
    <s v="Team B"/>
    <s v="Agent_7"/>
    <s v="Wednesday"/>
    <s v="Morning"/>
    <s v="0-3 months"/>
    <n v="44"/>
    <n v="6.89"/>
    <n v="0.22"/>
    <n v="0.76"/>
    <x v="46"/>
    <n v="3"/>
    <n v="31.34"/>
    <s v="High"/>
  </r>
  <r>
    <s v="Team B"/>
    <s v="Agent_7"/>
    <s v="Wednesday"/>
    <s v="Afternoon"/>
    <s v="6+ months"/>
    <n v="68"/>
    <n v="7.2"/>
    <n v="0.05"/>
    <n v="0.78"/>
    <x v="103"/>
    <n v="2"/>
    <n v="29.8"/>
    <s v="High"/>
  </r>
  <r>
    <s v="Team B"/>
    <s v="Agent_7"/>
    <s v="Wednesday"/>
    <s v="Evening"/>
    <s v="6+ months"/>
    <n v="66"/>
    <n v="7.37"/>
    <n v="0.05"/>
    <n v="0.69"/>
    <x v="111"/>
    <n v="2"/>
    <n v="30.06"/>
    <s v="High"/>
  </r>
  <r>
    <s v="Team B"/>
    <s v="Agent_7"/>
    <s v="Thursday"/>
    <s v="Morning"/>
    <s v="6+ months"/>
    <n v="51"/>
    <n v="8.49"/>
    <n v="0.15"/>
    <n v="0.79"/>
    <x v="37"/>
    <n v="0"/>
    <n v="27.74"/>
    <s v="High"/>
  </r>
  <r>
    <s v="Team B"/>
    <s v="Agent_7"/>
    <s v="Thursday"/>
    <s v="Afternoon"/>
    <s v="6+ months"/>
    <n v="50"/>
    <n v="6.95"/>
    <n v="0.09"/>
    <n v="0.78"/>
    <x v="9"/>
    <n v="0"/>
    <n v="25.42"/>
    <s v="Low"/>
  </r>
  <r>
    <s v="Team B"/>
    <s v="Agent_7"/>
    <s v="Thursday"/>
    <s v="Evening"/>
    <s v="6+ months"/>
    <n v="47"/>
    <n v="7.89"/>
    <n v="0.03"/>
    <n v="0.61"/>
    <x v="29"/>
    <n v="0"/>
    <n v="26.84"/>
    <s v="Low"/>
  </r>
  <r>
    <s v="Team B"/>
    <s v="Agent_7"/>
    <s v="Friday"/>
    <s v="Morning"/>
    <s v="3-6 months"/>
    <n v="50"/>
    <n v="6.31"/>
    <n v="0.06"/>
    <n v="0.86"/>
    <x v="112"/>
    <n v="0"/>
    <n v="24.46"/>
    <s v="Low"/>
  </r>
  <r>
    <s v="Team B"/>
    <s v="Agent_7"/>
    <s v="Friday"/>
    <s v="Afternoon"/>
    <s v="3-6 months"/>
    <n v="67"/>
    <n v="7.46"/>
    <n v="7.0000000000000007E-2"/>
    <n v="0.89"/>
    <x v="37"/>
    <n v="0"/>
    <n v="26.19"/>
    <s v="Low"/>
  </r>
  <r>
    <s v="Team B"/>
    <s v="Agent_7"/>
    <s v="Friday"/>
    <s v="Evening"/>
    <s v="3-6 months"/>
    <n v="70"/>
    <n v="6.89"/>
    <n v="0.05"/>
    <n v="0.81"/>
    <x v="65"/>
    <n v="2"/>
    <n v="29.34"/>
    <s v="High"/>
  </r>
  <r>
    <s v="Team B"/>
    <s v="Agent_8"/>
    <s v="Monday"/>
    <s v="Morning"/>
    <s v="3-6 months"/>
    <n v="40"/>
    <n v="9.33"/>
    <n v="0.08"/>
    <n v="0.81"/>
    <x v="53"/>
    <n v="0"/>
    <n v="29"/>
    <s v="High"/>
  </r>
  <r>
    <s v="Team B"/>
    <s v="Agent_8"/>
    <s v="Monday"/>
    <s v="Afternoon"/>
    <s v="6+ months"/>
    <n v="52"/>
    <n v="6.31"/>
    <n v="0.12"/>
    <n v="0.83"/>
    <x v="108"/>
    <n v="0"/>
    <n v="24.46"/>
    <s v="Low"/>
  </r>
  <r>
    <s v="Team B"/>
    <s v="Agent_8"/>
    <s v="Monday"/>
    <s v="Evening"/>
    <s v="0-3 months"/>
    <n v="72"/>
    <n v="7.56"/>
    <n v="0.21"/>
    <n v="0.8"/>
    <x v="13"/>
    <n v="0"/>
    <n v="26.34"/>
    <s v="Low"/>
  </r>
  <r>
    <s v="Team B"/>
    <s v="Agent_8"/>
    <s v="Tuesday"/>
    <s v="Morning"/>
    <s v="3-6 months"/>
    <n v="69"/>
    <n v="6.15"/>
    <n v="7.0000000000000007E-2"/>
    <n v="0.87"/>
    <x v="109"/>
    <n v="0"/>
    <n v="24.22"/>
    <s v="Low"/>
  </r>
  <r>
    <s v="Team B"/>
    <s v="Agent_8"/>
    <s v="Tuesday"/>
    <s v="Afternoon"/>
    <s v="0-3 months"/>
    <n v="34"/>
    <n v="6.53"/>
    <n v="0.19"/>
    <n v="0.87"/>
    <x v="71"/>
    <n v="0"/>
    <n v="24.8"/>
    <s v="Low"/>
  </r>
  <r>
    <s v="Team B"/>
    <s v="Agent_8"/>
    <s v="Tuesday"/>
    <s v="Evening"/>
    <s v="0-3 months"/>
    <n v="77"/>
    <n v="8.11"/>
    <n v="0.15"/>
    <n v="0.65"/>
    <x v="76"/>
    <n v="1"/>
    <n v="29.16"/>
    <s v="High"/>
  </r>
  <r>
    <s v="Team B"/>
    <s v="Agent_8"/>
    <s v="Wednesday"/>
    <s v="Morning"/>
    <s v="6+ months"/>
    <n v="70"/>
    <n v="8.81"/>
    <n v="0.14000000000000001"/>
    <n v="0.82"/>
    <x v="113"/>
    <n v="0"/>
    <n v="28.22"/>
    <s v="High"/>
  </r>
  <r>
    <s v="Team B"/>
    <s v="Agent_8"/>
    <s v="Wednesday"/>
    <s v="Afternoon"/>
    <s v="0-3 months"/>
    <n v="56"/>
    <n v="7.56"/>
    <n v="0.2"/>
    <n v="0.86"/>
    <x v="17"/>
    <n v="1"/>
    <n v="28.34"/>
    <s v="High"/>
  </r>
  <r>
    <s v="Team B"/>
    <s v="Agent_8"/>
    <s v="Wednesday"/>
    <s v="Evening"/>
    <s v="0-3 months"/>
    <n v="44"/>
    <n v="7.77"/>
    <n v="0.08"/>
    <n v="0.75"/>
    <x v="39"/>
    <n v="0"/>
    <n v="26.66"/>
    <s v="Low"/>
  </r>
  <r>
    <s v="Team B"/>
    <s v="Agent_8"/>
    <s v="Thursday"/>
    <s v="Morning"/>
    <s v="3-6 months"/>
    <n v="54"/>
    <n v="6.99"/>
    <n v="0.14000000000000001"/>
    <n v="0.85"/>
    <x v="21"/>
    <n v="0"/>
    <n v="25.48"/>
    <s v="Low"/>
  </r>
  <r>
    <s v="Team B"/>
    <s v="Agent_8"/>
    <s v="Thursday"/>
    <s v="Afternoon"/>
    <s v="6+ months"/>
    <n v="61"/>
    <n v="6.74"/>
    <n v="0.06"/>
    <n v="0.88"/>
    <x v="96"/>
    <n v="0"/>
    <n v="25.11"/>
    <s v="Low"/>
  </r>
  <r>
    <s v="Team B"/>
    <s v="Agent_8"/>
    <s v="Thursday"/>
    <s v="Evening"/>
    <s v="3-6 months"/>
    <n v="50"/>
    <n v="6.21"/>
    <n v="0.03"/>
    <n v="0.68"/>
    <x v="97"/>
    <n v="0"/>
    <n v="24.32"/>
    <s v="Low"/>
  </r>
  <r>
    <s v="Team B"/>
    <s v="Agent_8"/>
    <s v="Friday"/>
    <s v="Morning"/>
    <s v="3-6 months"/>
    <n v="42"/>
    <n v="7.73"/>
    <n v="0.04"/>
    <n v="0.77"/>
    <x v="98"/>
    <n v="2"/>
    <n v="30.6"/>
    <s v="High"/>
  </r>
  <r>
    <s v="Team B"/>
    <s v="Agent_8"/>
    <s v="Friday"/>
    <s v="Afternoon"/>
    <s v="0-3 months"/>
    <n v="52"/>
    <n v="7.99"/>
    <n v="0.19"/>
    <n v="0.84"/>
    <x v="46"/>
    <n v="0"/>
    <n v="26.98"/>
    <s v="Low"/>
  </r>
  <r>
    <s v="Team B"/>
    <s v="Agent_8"/>
    <s v="Friday"/>
    <s v="Evening"/>
    <s v="3-6 months"/>
    <n v="58"/>
    <n v="8.2200000000000006"/>
    <n v="0.03"/>
    <n v="0.74"/>
    <x v="59"/>
    <n v="0"/>
    <n v="27.33"/>
    <s v="Low"/>
  </r>
  <r>
    <s v="Team B"/>
    <s v="Agent_9"/>
    <s v="Monday"/>
    <s v="Morning"/>
    <s v="0-3 months"/>
    <n v="45"/>
    <n v="8.1"/>
    <n v="0.27"/>
    <n v="0.79"/>
    <x v="84"/>
    <n v="2"/>
    <n v="31.15"/>
    <s v="High"/>
  </r>
  <r>
    <s v="Team B"/>
    <s v="Agent_9"/>
    <s v="Monday"/>
    <s v="Afternoon"/>
    <s v="3-6 months"/>
    <n v="54"/>
    <n v="8.27"/>
    <n v="0.09"/>
    <n v="0.86"/>
    <x v="3"/>
    <n v="0"/>
    <n v="27.4"/>
    <s v="Low"/>
  </r>
  <r>
    <s v="Team B"/>
    <s v="Agent_9"/>
    <s v="Monday"/>
    <s v="Evening"/>
    <s v="3-6 months"/>
    <n v="42"/>
    <n v="9.14"/>
    <n v="0.13"/>
    <n v="0.81"/>
    <x v="114"/>
    <n v="0"/>
    <n v="28.71"/>
    <s v="High"/>
  </r>
  <r>
    <s v="Team B"/>
    <s v="Agent_9"/>
    <s v="Tuesday"/>
    <s v="Morning"/>
    <s v="6+ months"/>
    <n v="49"/>
    <n v="10.130000000000001"/>
    <n v="0.06"/>
    <n v="0.77"/>
    <x v="41"/>
    <n v="2"/>
    <n v="34.200000000000003"/>
    <s v="High"/>
  </r>
  <r>
    <s v="Team B"/>
    <s v="Agent_9"/>
    <s v="Tuesday"/>
    <s v="Afternoon"/>
    <s v="6+ months"/>
    <n v="33"/>
    <n v="9.06"/>
    <n v="0.12"/>
    <n v="0.78"/>
    <x v="25"/>
    <n v="1"/>
    <n v="30.59"/>
    <s v="High"/>
  </r>
  <r>
    <s v="Team B"/>
    <s v="Agent_9"/>
    <s v="Tuesday"/>
    <s v="Evening"/>
    <s v="0-3 months"/>
    <n v="68"/>
    <n v="6.25"/>
    <n v="0.05"/>
    <n v="0.75"/>
    <x v="40"/>
    <n v="1"/>
    <n v="26.38"/>
    <s v="Low"/>
  </r>
  <r>
    <s v="Team B"/>
    <s v="Agent_9"/>
    <s v="Wednesday"/>
    <s v="Morning"/>
    <s v="0-3 months"/>
    <n v="36"/>
    <n v="9.7100000000000009"/>
    <n v="7.0000000000000007E-2"/>
    <n v="0.84"/>
    <x v="66"/>
    <n v="0"/>
    <n v="29.56"/>
    <s v="High"/>
  </r>
  <r>
    <s v="Team B"/>
    <s v="Agent_9"/>
    <s v="Wednesday"/>
    <s v="Afternoon"/>
    <s v="3-6 months"/>
    <n v="63"/>
    <n v="7.2"/>
    <n v="0.1"/>
    <n v="0.84"/>
    <x v="58"/>
    <n v="0"/>
    <n v="25.8"/>
    <s v="Low"/>
  </r>
  <r>
    <s v="Team B"/>
    <s v="Agent_9"/>
    <s v="Wednesday"/>
    <s v="Evening"/>
    <s v="3-6 months"/>
    <n v="48"/>
    <n v="7.33"/>
    <n v="0.12"/>
    <n v="0.78"/>
    <x v="87"/>
    <n v="0"/>
    <n v="26"/>
    <s v="Low"/>
  </r>
  <r>
    <s v="Team B"/>
    <s v="Agent_9"/>
    <s v="Thursday"/>
    <s v="Morning"/>
    <s v="3-6 months"/>
    <n v="65"/>
    <n v="7.05"/>
    <n v="0.04"/>
    <n v="0.86"/>
    <x v="22"/>
    <n v="0"/>
    <n v="25.58"/>
    <s v="Low"/>
  </r>
  <r>
    <s v="Team B"/>
    <s v="Agent_9"/>
    <s v="Thursday"/>
    <s v="Afternoon"/>
    <s v="0-3 months"/>
    <n v="57"/>
    <n v="7.69"/>
    <n v="0.16"/>
    <n v="0.85"/>
    <x v="91"/>
    <n v="0"/>
    <n v="26.54"/>
    <s v="Low"/>
  </r>
  <r>
    <s v="Team B"/>
    <s v="Agent_9"/>
    <s v="Thursday"/>
    <s v="Evening"/>
    <s v="3-6 months"/>
    <n v="43"/>
    <n v="8.08"/>
    <n v="0.12"/>
    <n v="0.78"/>
    <x v="115"/>
    <n v="0"/>
    <n v="27.12"/>
    <s v="Low"/>
  </r>
  <r>
    <s v="Team B"/>
    <s v="Agent_9"/>
    <s v="Friday"/>
    <s v="Morning"/>
    <s v="3-6 months"/>
    <n v="39"/>
    <n v="7.64"/>
    <n v="0.06"/>
    <n v="0.89"/>
    <x v="96"/>
    <n v="0"/>
    <n v="26.46"/>
    <s v="Low"/>
  </r>
  <r>
    <s v="Team B"/>
    <s v="Agent_9"/>
    <s v="Friday"/>
    <s v="Afternoon"/>
    <s v="6+ months"/>
    <n v="58"/>
    <n v="5.73"/>
    <n v="0.08"/>
    <n v="0.82"/>
    <x v="5"/>
    <n v="2"/>
    <n v="27.6"/>
    <s v="Low"/>
  </r>
  <r>
    <s v="Team B"/>
    <s v="Agent_9"/>
    <s v="Friday"/>
    <s v="Evening"/>
    <s v="6+ months"/>
    <n v="55"/>
    <n v="7.71"/>
    <n v="0.08"/>
    <n v="0.71"/>
    <x v="88"/>
    <n v="1"/>
    <n v="28.56"/>
    <s v="High"/>
  </r>
  <r>
    <s v="Team B"/>
    <s v="Agent_10"/>
    <s v="Monday"/>
    <s v="Morning"/>
    <s v="0-3 months"/>
    <n v="73"/>
    <n v="7.12"/>
    <n v="0.08"/>
    <n v="0.86"/>
    <x v="103"/>
    <n v="3"/>
    <n v="31.68"/>
    <s v="High"/>
  </r>
  <r>
    <s v="Team B"/>
    <s v="Agent_10"/>
    <s v="Monday"/>
    <s v="Afternoon"/>
    <s v="0-3 months"/>
    <n v="73"/>
    <n v="6.55"/>
    <n v="0.25"/>
    <n v="0.9"/>
    <x v="29"/>
    <n v="0"/>
    <n v="24.82"/>
    <s v="Low"/>
  </r>
  <r>
    <s v="Team B"/>
    <s v="Agent_10"/>
    <s v="Monday"/>
    <s v="Evening"/>
    <s v="6+ months"/>
    <n v="35"/>
    <n v="6.55"/>
    <n v="0.03"/>
    <n v="0.72"/>
    <x v="116"/>
    <n v="0"/>
    <n v="24.82"/>
    <s v="Low"/>
  </r>
  <r>
    <s v="Team B"/>
    <s v="Agent_10"/>
    <s v="Tuesday"/>
    <s v="Morning"/>
    <s v="6+ months"/>
    <n v="50"/>
    <n v="5.08"/>
    <n v="7.0000000000000007E-2"/>
    <n v="0.88"/>
    <x v="58"/>
    <n v="1"/>
    <n v="24.62"/>
    <s v="Low"/>
  </r>
  <r>
    <s v="Team B"/>
    <s v="Agent_10"/>
    <s v="Tuesday"/>
    <s v="Afternoon"/>
    <s v="6+ months"/>
    <n v="44"/>
    <n v="8.3800000000000008"/>
    <n v="0.13"/>
    <n v="0.81"/>
    <x v="114"/>
    <n v="1"/>
    <n v="29.57"/>
    <s v="High"/>
  </r>
  <r>
    <s v="Team B"/>
    <s v="Agent_10"/>
    <s v="Tuesday"/>
    <s v="Evening"/>
    <s v="3-6 months"/>
    <n v="66"/>
    <n v="6.39"/>
    <n v="0.09"/>
    <n v="0.72"/>
    <x v="1"/>
    <n v="1"/>
    <n v="26.58"/>
    <s v="Low"/>
  </r>
  <r>
    <s v="Team B"/>
    <s v="Agent_10"/>
    <s v="Wednesday"/>
    <s v="Morning"/>
    <s v="3-6 months"/>
    <n v="70"/>
    <n v="8.07"/>
    <n v="0.02"/>
    <n v="0.86"/>
    <x v="111"/>
    <n v="0"/>
    <n v="27.1"/>
    <s v="Low"/>
  </r>
  <r>
    <s v="Team B"/>
    <s v="Agent_10"/>
    <s v="Wednesday"/>
    <s v="Afternoon"/>
    <s v="3-6 months"/>
    <n v="62"/>
    <n v="6.48"/>
    <n v="0.13"/>
    <n v="0.86"/>
    <x v="71"/>
    <n v="1"/>
    <n v="26.72"/>
    <s v="Low"/>
  </r>
  <r>
    <s v="Team B"/>
    <s v="Agent_10"/>
    <s v="Wednesday"/>
    <s v="Evening"/>
    <s v="3-6 months"/>
    <n v="35"/>
    <n v="7.56"/>
    <n v="0.05"/>
    <n v="0.81"/>
    <x v="38"/>
    <n v="0"/>
    <n v="26.34"/>
    <s v="Low"/>
  </r>
  <r>
    <s v="Team B"/>
    <s v="Agent_10"/>
    <s v="Thursday"/>
    <s v="Morning"/>
    <s v="3-6 months"/>
    <n v="31"/>
    <n v="9.1300000000000008"/>
    <n v="0.06"/>
    <n v="0.87"/>
    <x v="69"/>
    <n v="0"/>
    <n v="28.7"/>
    <s v="High"/>
  </r>
  <r>
    <s v="Team B"/>
    <s v="Agent_10"/>
    <s v="Thursday"/>
    <s v="Afternoon"/>
    <s v="6+ months"/>
    <n v="78"/>
    <n v="7.24"/>
    <n v="0.05"/>
    <n v="0.79"/>
    <x v="72"/>
    <n v="0"/>
    <n v="25.86"/>
    <s v="Low"/>
  </r>
  <r>
    <s v="Team B"/>
    <s v="Agent_10"/>
    <s v="Thursday"/>
    <s v="Evening"/>
    <s v="6+ months"/>
    <n v="51"/>
    <n v="6.53"/>
    <n v="0.05"/>
    <n v="0.84"/>
    <x v="66"/>
    <n v="1"/>
    <n v="26.8"/>
    <s v="Low"/>
  </r>
  <r>
    <s v="Team B"/>
    <s v="Agent_10"/>
    <s v="Friday"/>
    <s v="Morning"/>
    <s v="3-6 months"/>
    <n v="31"/>
    <n v="7.96"/>
    <n v="0.03"/>
    <n v="0.82"/>
    <x v="30"/>
    <n v="0"/>
    <n v="26.94"/>
    <s v="Low"/>
  </r>
  <r>
    <s v="Team B"/>
    <s v="Agent_10"/>
    <s v="Friday"/>
    <s v="Afternoon"/>
    <s v="3-6 months"/>
    <n v="35"/>
    <n v="6.7"/>
    <n v="7.0000000000000007E-2"/>
    <n v="0.76"/>
    <x v="5"/>
    <n v="0"/>
    <n v="25.05"/>
    <s v="Low"/>
  </r>
  <r>
    <s v="Team B"/>
    <s v="Agent_10"/>
    <s v="Friday"/>
    <s v="Evening"/>
    <s v="0-3 months"/>
    <n v="37"/>
    <n v="5.37"/>
    <n v="0.12"/>
    <n v="0.8"/>
    <x v="90"/>
    <n v="1"/>
    <n v="25.06"/>
    <s v="Low"/>
  </r>
  <r>
    <s v="Team C"/>
    <s v="Agent_1"/>
    <s v="Monday"/>
    <s v="Morning"/>
    <s v="6+ months"/>
    <n v="76"/>
    <n v="3.24"/>
    <n v="0.09"/>
    <n v="0.77"/>
    <x v="3"/>
    <n v="0"/>
    <n v="19.86"/>
    <s v="Low"/>
  </r>
  <r>
    <s v="Team C"/>
    <s v="Agent_1"/>
    <s v="Monday"/>
    <s v="Afternoon"/>
    <s v="6+ months"/>
    <n v="72"/>
    <n v="7.06"/>
    <n v="0.15"/>
    <n v="0.77"/>
    <x v="117"/>
    <n v="0"/>
    <n v="25.59"/>
    <s v="Low"/>
  </r>
  <r>
    <s v="Team C"/>
    <s v="Agent_1"/>
    <s v="Monday"/>
    <s v="Evening"/>
    <s v="6+ months"/>
    <n v="77"/>
    <n v="5.8"/>
    <n v="0.1"/>
    <n v="0.62"/>
    <x v="16"/>
    <n v="2"/>
    <n v="27.7"/>
    <s v="High"/>
  </r>
  <r>
    <s v="Team C"/>
    <s v="Agent_1"/>
    <s v="Tuesday"/>
    <s v="Morning"/>
    <s v="3-6 months"/>
    <n v="45"/>
    <n v="4.84"/>
    <n v="0.15"/>
    <n v="0.82"/>
    <x v="76"/>
    <n v="1"/>
    <n v="24.26"/>
    <s v="Low"/>
  </r>
  <r>
    <s v="Team C"/>
    <s v="Agent_1"/>
    <s v="Tuesday"/>
    <s v="Afternoon"/>
    <s v="3-6 months"/>
    <n v="57"/>
    <n v="5.81"/>
    <n v="0.04"/>
    <n v="0.75"/>
    <x v="66"/>
    <n v="0"/>
    <n v="23.72"/>
    <s v="Low"/>
  </r>
  <r>
    <s v="Team C"/>
    <s v="Agent_1"/>
    <s v="Tuesday"/>
    <s v="Evening"/>
    <s v="6+ months"/>
    <n v="63"/>
    <n v="6.99"/>
    <n v="0.05"/>
    <n v="0.69"/>
    <x v="61"/>
    <n v="0"/>
    <n v="25.48"/>
    <s v="Low"/>
  </r>
  <r>
    <s v="Team C"/>
    <s v="Agent_1"/>
    <s v="Wednesday"/>
    <s v="Morning"/>
    <s v="0-3 months"/>
    <n v="67"/>
    <n v="7.81"/>
    <n v="0.13"/>
    <n v="0.82"/>
    <x v="48"/>
    <n v="0"/>
    <n v="26.72"/>
    <s v="Low"/>
  </r>
  <r>
    <s v="Team C"/>
    <s v="Agent_1"/>
    <s v="Wednesday"/>
    <s v="Afternoon"/>
    <s v="3-6 months"/>
    <n v="63"/>
    <n v="6.35"/>
    <n v="0.13"/>
    <n v="0.88"/>
    <x v="2"/>
    <n v="0"/>
    <n v="24.52"/>
    <s v="Low"/>
  </r>
  <r>
    <s v="Team C"/>
    <s v="Agent_1"/>
    <s v="Wednesday"/>
    <s v="Evening"/>
    <s v="0-3 months"/>
    <n v="55"/>
    <n v="5.76"/>
    <n v="0.09"/>
    <n v="0.69"/>
    <x v="53"/>
    <n v="1"/>
    <n v="25.64"/>
    <s v="Low"/>
  </r>
  <r>
    <s v="Team C"/>
    <s v="Agent_1"/>
    <s v="Thursday"/>
    <s v="Morning"/>
    <s v="3-6 months"/>
    <n v="77"/>
    <n v="5.63"/>
    <n v="0.1"/>
    <n v="0.86"/>
    <x v="15"/>
    <n v="2"/>
    <n v="27.44"/>
    <s v="Low"/>
  </r>
  <r>
    <s v="Team C"/>
    <s v="Agent_1"/>
    <s v="Thursday"/>
    <s v="Afternoon"/>
    <s v="0-3 months"/>
    <n v="62"/>
    <n v="6.37"/>
    <n v="0.13"/>
    <n v="0.85"/>
    <x v="71"/>
    <n v="0"/>
    <n v="24.56"/>
    <s v="Low"/>
  </r>
  <r>
    <s v="Team C"/>
    <s v="Agent_1"/>
    <s v="Thursday"/>
    <s v="Evening"/>
    <s v="6+ months"/>
    <n v="30"/>
    <n v="5.21"/>
    <n v="0.13"/>
    <n v="0.67"/>
    <x v="89"/>
    <n v="1"/>
    <n v="24.82"/>
    <s v="Low"/>
  </r>
  <r>
    <s v="Team C"/>
    <s v="Agent_1"/>
    <s v="Friday"/>
    <s v="Morning"/>
    <s v="3-6 months"/>
    <n v="67"/>
    <n v="5.41"/>
    <n v="0.12"/>
    <n v="0.81"/>
    <x v="118"/>
    <n v="2"/>
    <n v="27.12"/>
    <s v="Low"/>
  </r>
  <r>
    <s v="Team C"/>
    <s v="Agent_1"/>
    <s v="Friday"/>
    <s v="Afternoon"/>
    <s v="0-3 months"/>
    <n v="38"/>
    <n v="5.81"/>
    <n v="0.25"/>
    <n v="0.85"/>
    <x v="96"/>
    <n v="2"/>
    <n v="27.72"/>
    <s v="High"/>
  </r>
  <r>
    <s v="Team C"/>
    <s v="Agent_1"/>
    <s v="Friday"/>
    <s v="Evening"/>
    <s v="3-6 months"/>
    <n v="52"/>
    <n v="5.62"/>
    <n v="7.0000000000000007E-2"/>
    <n v="0.66"/>
    <x v="52"/>
    <n v="0"/>
    <n v="23.43"/>
    <s v="Low"/>
  </r>
  <r>
    <s v="Team C"/>
    <s v="Agent_2"/>
    <s v="Monday"/>
    <s v="Morning"/>
    <s v="3-6 months"/>
    <n v="43"/>
    <n v="4.8600000000000003"/>
    <n v="0.08"/>
    <n v="0.75"/>
    <x v="6"/>
    <n v="0"/>
    <n v="22.29"/>
    <s v="Low"/>
  </r>
  <r>
    <s v="Team C"/>
    <s v="Agent_2"/>
    <s v="Monday"/>
    <s v="Afternoon"/>
    <s v="6+ months"/>
    <n v="51"/>
    <n v="5.56"/>
    <n v="0.14000000000000001"/>
    <n v="0.86"/>
    <x v="15"/>
    <n v="0"/>
    <n v="23.34"/>
    <s v="Low"/>
  </r>
  <r>
    <s v="Team C"/>
    <s v="Agent_2"/>
    <s v="Monday"/>
    <s v="Evening"/>
    <s v="6+ months"/>
    <n v="38"/>
    <n v="6.75"/>
    <n v="0.06"/>
    <n v="0.81"/>
    <x v="31"/>
    <n v="2"/>
    <n v="29.12"/>
    <s v="High"/>
  </r>
  <r>
    <s v="Team C"/>
    <s v="Agent_2"/>
    <s v="Tuesday"/>
    <s v="Morning"/>
    <s v="0-3 months"/>
    <n v="67"/>
    <n v="4.3"/>
    <n v="0.26"/>
    <n v="0.76"/>
    <x v="119"/>
    <n v="1"/>
    <n v="23.45"/>
    <s v="Low"/>
  </r>
  <r>
    <s v="Team C"/>
    <s v="Agent_2"/>
    <s v="Tuesday"/>
    <s v="Afternoon"/>
    <s v="3-6 months"/>
    <n v="33"/>
    <n v="6.53"/>
    <n v="0.13"/>
    <n v="0.88"/>
    <x v="83"/>
    <n v="0"/>
    <n v="24.8"/>
    <s v="Low"/>
  </r>
  <r>
    <s v="Team C"/>
    <s v="Agent_2"/>
    <s v="Tuesday"/>
    <s v="Evening"/>
    <s v="6+ months"/>
    <n v="45"/>
    <n v="6.73"/>
    <n v="0.02"/>
    <n v="0.75"/>
    <x v="92"/>
    <n v="2"/>
    <n v="29.1"/>
    <s v="High"/>
  </r>
  <r>
    <s v="Team C"/>
    <s v="Agent_2"/>
    <s v="Wednesday"/>
    <s v="Morning"/>
    <s v="3-6 months"/>
    <n v="34"/>
    <n v="5.35"/>
    <n v="0.05"/>
    <n v="0.78"/>
    <x v="101"/>
    <n v="1"/>
    <n v="25.02"/>
    <s v="Low"/>
  </r>
  <r>
    <s v="Team C"/>
    <s v="Agent_2"/>
    <s v="Wednesday"/>
    <s v="Afternoon"/>
    <s v="3-6 months"/>
    <n v="38"/>
    <n v="6.98"/>
    <n v="0.13"/>
    <n v="0.84"/>
    <x v="80"/>
    <n v="0"/>
    <n v="25.47"/>
    <s v="Low"/>
  </r>
  <r>
    <s v="Team C"/>
    <s v="Agent_2"/>
    <s v="Wednesday"/>
    <s v="Evening"/>
    <s v="3-6 months"/>
    <n v="41"/>
    <n v="6.5"/>
    <n v="0.08"/>
    <n v="0.63"/>
    <x v="35"/>
    <n v="0"/>
    <n v="24.75"/>
    <s v="Low"/>
  </r>
  <r>
    <s v="Team C"/>
    <s v="Agent_2"/>
    <s v="Thursday"/>
    <s v="Morning"/>
    <s v="0-3 months"/>
    <n v="50"/>
    <n v="7.22"/>
    <n v="0.23"/>
    <n v="0.79"/>
    <x v="80"/>
    <n v="0"/>
    <n v="25.83"/>
    <s v="Low"/>
  </r>
  <r>
    <s v="Team C"/>
    <s v="Agent_2"/>
    <s v="Thursday"/>
    <s v="Afternoon"/>
    <s v="3-6 months"/>
    <n v="74"/>
    <n v="7.75"/>
    <n v="0.15"/>
    <n v="0.79"/>
    <x v="20"/>
    <n v="0"/>
    <n v="26.62"/>
    <s v="Low"/>
  </r>
  <r>
    <s v="Team C"/>
    <s v="Agent_2"/>
    <s v="Thursday"/>
    <s v="Evening"/>
    <s v="6+ months"/>
    <n v="37"/>
    <n v="5.38"/>
    <n v="0.05"/>
    <n v="0.69"/>
    <x v="82"/>
    <n v="0"/>
    <n v="23.07"/>
    <s v="Low"/>
  </r>
  <r>
    <s v="Team C"/>
    <s v="Agent_2"/>
    <s v="Friday"/>
    <s v="Morning"/>
    <s v="0-3 months"/>
    <n v="71"/>
    <n v="6.19"/>
    <n v="0.28999999999999998"/>
    <n v="0.8"/>
    <x v="101"/>
    <n v="0"/>
    <n v="24.28"/>
    <s v="Low"/>
  </r>
  <r>
    <s v="Team C"/>
    <s v="Agent_2"/>
    <s v="Friday"/>
    <s v="Afternoon"/>
    <s v="3-6 months"/>
    <n v="74"/>
    <n v="8.48"/>
    <n v="0.09"/>
    <n v="0.88"/>
    <x v="120"/>
    <n v="2"/>
    <n v="31.72"/>
    <s v="High"/>
  </r>
  <r>
    <s v="Team C"/>
    <s v="Agent_2"/>
    <s v="Friday"/>
    <s v="Evening"/>
    <s v="6+ months"/>
    <n v="62"/>
    <n v="5.3"/>
    <n v="0.06"/>
    <n v="0.8"/>
    <x v="50"/>
    <n v="0"/>
    <n v="22.95"/>
    <s v="Low"/>
  </r>
  <r>
    <s v="Team C"/>
    <s v="Agent_3"/>
    <s v="Monday"/>
    <s v="Morning"/>
    <s v="0-3 months"/>
    <n v="70"/>
    <n v="5.22"/>
    <n v="0.2"/>
    <n v="0.77"/>
    <x v="78"/>
    <n v="0"/>
    <n v="22.83"/>
    <s v="Low"/>
  </r>
  <r>
    <s v="Team C"/>
    <s v="Agent_3"/>
    <s v="Monday"/>
    <s v="Afternoon"/>
    <s v="6+ months"/>
    <n v="42"/>
    <n v="5.81"/>
    <n v="0.11"/>
    <n v="0.76"/>
    <x v="53"/>
    <n v="2"/>
    <n v="27.72"/>
    <s v="High"/>
  </r>
  <r>
    <s v="Team C"/>
    <s v="Agent_3"/>
    <s v="Monday"/>
    <s v="Evening"/>
    <s v="0-3 months"/>
    <n v="69"/>
    <n v="4.2"/>
    <n v="0.28000000000000003"/>
    <n v="0.78"/>
    <x v="14"/>
    <n v="0"/>
    <n v="21.3"/>
    <s v="Low"/>
  </r>
  <r>
    <s v="Team C"/>
    <s v="Agent_3"/>
    <s v="Tuesday"/>
    <s v="Morning"/>
    <s v="6+ months"/>
    <n v="68"/>
    <n v="4.42"/>
    <n v="0.14000000000000001"/>
    <n v="0.86"/>
    <x v="95"/>
    <n v="0"/>
    <n v="21.63"/>
    <s v="Low"/>
  </r>
  <r>
    <s v="Team C"/>
    <s v="Agent_3"/>
    <s v="Tuesday"/>
    <s v="Afternoon"/>
    <s v="6+ months"/>
    <n v="76"/>
    <n v="6.14"/>
    <n v="0.11"/>
    <n v="0.77"/>
    <x v="52"/>
    <n v="0"/>
    <n v="24.21"/>
    <s v="Low"/>
  </r>
  <r>
    <s v="Team C"/>
    <s v="Agent_3"/>
    <s v="Tuesday"/>
    <s v="Evening"/>
    <s v="3-6 months"/>
    <n v="48"/>
    <n v="5.39"/>
    <n v="0.1"/>
    <n v="0.74"/>
    <x v="63"/>
    <n v="0"/>
    <n v="23.08"/>
    <s v="Low"/>
  </r>
  <r>
    <s v="Team C"/>
    <s v="Agent_3"/>
    <s v="Wednesday"/>
    <s v="Morning"/>
    <s v="3-6 months"/>
    <n v="70"/>
    <n v="6.17"/>
    <n v="0.11"/>
    <n v="0.8"/>
    <x v="100"/>
    <n v="0"/>
    <n v="24.26"/>
    <s v="Low"/>
  </r>
  <r>
    <s v="Team C"/>
    <s v="Agent_3"/>
    <s v="Wednesday"/>
    <s v="Afternoon"/>
    <s v="3-6 months"/>
    <n v="38"/>
    <n v="6.44"/>
    <n v="0.1"/>
    <n v="0.88"/>
    <x v="98"/>
    <n v="0"/>
    <n v="24.66"/>
    <s v="Low"/>
  </r>
  <r>
    <s v="Team C"/>
    <s v="Agent_3"/>
    <s v="Wednesday"/>
    <s v="Evening"/>
    <s v="6+ months"/>
    <n v="67"/>
    <n v="6.56"/>
    <n v="0.09"/>
    <n v="0.71"/>
    <x v="102"/>
    <n v="0"/>
    <n v="24.84"/>
    <s v="Low"/>
  </r>
  <r>
    <s v="Team C"/>
    <s v="Agent_3"/>
    <s v="Thursday"/>
    <s v="Morning"/>
    <s v="6+ months"/>
    <n v="78"/>
    <n v="6.92"/>
    <n v="0.05"/>
    <n v="0.82"/>
    <x v="17"/>
    <n v="0"/>
    <n v="25.38"/>
    <s v="Low"/>
  </r>
  <r>
    <s v="Team C"/>
    <s v="Agent_3"/>
    <s v="Thursday"/>
    <s v="Afternoon"/>
    <s v="3-6 months"/>
    <n v="72"/>
    <n v="7.84"/>
    <n v="0.06"/>
    <n v="0.8"/>
    <x v="87"/>
    <n v="0"/>
    <n v="26.76"/>
    <s v="Low"/>
  </r>
  <r>
    <s v="Team C"/>
    <s v="Agent_3"/>
    <s v="Thursday"/>
    <s v="Evening"/>
    <s v="6+ months"/>
    <n v="32"/>
    <n v="5.25"/>
    <n v="0.08"/>
    <n v="0.74"/>
    <x v="118"/>
    <n v="0"/>
    <n v="22.88"/>
    <s v="Low"/>
  </r>
  <r>
    <s v="Team C"/>
    <s v="Agent_3"/>
    <s v="Friday"/>
    <s v="Morning"/>
    <s v="6+ months"/>
    <n v="61"/>
    <n v="7.3"/>
    <n v="0.11"/>
    <n v="0.85"/>
    <x v="75"/>
    <n v="0"/>
    <n v="25.95"/>
    <s v="Low"/>
  </r>
  <r>
    <s v="Team C"/>
    <s v="Agent_3"/>
    <s v="Friday"/>
    <s v="Afternoon"/>
    <s v="3-6 months"/>
    <n v="33"/>
    <n v="4.34"/>
    <n v="0.03"/>
    <n v="0.86"/>
    <x v="47"/>
    <n v="0"/>
    <n v="21.51"/>
    <s v="Low"/>
  </r>
  <r>
    <s v="Team C"/>
    <s v="Agent_3"/>
    <s v="Friday"/>
    <s v="Evening"/>
    <s v="3-6 months"/>
    <n v="47"/>
    <n v="4.59"/>
    <n v="0.03"/>
    <n v="0.7"/>
    <x v="41"/>
    <n v="1"/>
    <n v="23.88"/>
    <s v="Low"/>
  </r>
  <r>
    <s v="Team C"/>
    <s v="Agent_4"/>
    <s v="Monday"/>
    <s v="Morning"/>
    <s v="3-6 months"/>
    <n v="63"/>
    <n v="7.21"/>
    <n v="0.13"/>
    <n v="0.84"/>
    <x v="66"/>
    <n v="0"/>
    <n v="25.82"/>
    <s v="Low"/>
  </r>
  <r>
    <s v="Team C"/>
    <s v="Agent_4"/>
    <s v="Monday"/>
    <s v="Afternoon"/>
    <s v="0-3 months"/>
    <n v="79"/>
    <n v="5.53"/>
    <n v="0.18"/>
    <n v="0.89"/>
    <x v="52"/>
    <n v="0"/>
    <n v="23.3"/>
    <s v="Low"/>
  </r>
  <r>
    <s v="Team C"/>
    <s v="Agent_4"/>
    <s v="Monday"/>
    <s v="Evening"/>
    <s v="0-3 months"/>
    <n v="56"/>
    <n v="5.99"/>
    <n v="0.09"/>
    <n v="0.61"/>
    <x v="97"/>
    <n v="0"/>
    <n v="23.98"/>
    <s v="Low"/>
  </r>
  <r>
    <s v="Team C"/>
    <s v="Agent_4"/>
    <s v="Tuesday"/>
    <s v="Morning"/>
    <s v="0-3 months"/>
    <n v="66"/>
    <n v="5.59"/>
    <n v="0.14000000000000001"/>
    <n v="0.82"/>
    <x v="104"/>
    <n v="3"/>
    <n v="29.38"/>
    <s v="High"/>
  </r>
  <r>
    <s v="Team C"/>
    <s v="Agent_4"/>
    <s v="Tuesday"/>
    <s v="Afternoon"/>
    <s v="3-6 months"/>
    <n v="58"/>
    <n v="7.07"/>
    <n v="0.06"/>
    <n v="0.89"/>
    <x v="107"/>
    <n v="0"/>
    <n v="25.6"/>
    <s v="Low"/>
  </r>
  <r>
    <s v="Team C"/>
    <s v="Agent_4"/>
    <s v="Tuesday"/>
    <s v="Evening"/>
    <s v="3-6 months"/>
    <n v="33"/>
    <n v="5.98"/>
    <n v="0.09"/>
    <n v="0.64"/>
    <x v="74"/>
    <n v="2"/>
    <n v="27.97"/>
    <s v="High"/>
  </r>
  <r>
    <s v="Team C"/>
    <s v="Agent_4"/>
    <s v="Wednesday"/>
    <s v="Morning"/>
    <s v="3-6 months"/>
    <n v="63"/>
    <n v="6.4"/>
    <n v="0.05"/>
    <n v="0.78"/>
    <x v="56"/>
    <n v="0"/>
    <n v="24.6"/>
    <s v="Low"/>
  </r>
  <r>
    <s v="Team C"/>
    <s v="Agent_4"/>
    <s v="Wednesday"/>
    <s v="Afternoon"/>
    <s v="0-3 months"/>
    <n v="73"/>
    <n v="6.17"/>
    <n v="0.09"/>
    <n v="0.84"/>
    <x v="81"/>
    <n v="0"/>
    <n v="24.26"/>
    <s v="Low"/>
  </r>
  <r>
    <s v="Team C"/>
    <s v="Agent_4"/>
    <s v="Wednesday"/>
    <s v="Evening"/>
    <s v="6+ months"/>
    <n v="65"/>
    <n v="7.26"/>
    <n v="7.0000000000000007E-2"/>
    <n v="0.85"/>
    <x v="59"/>
    <n v="1"/>
    <n v="27.89"/>
    <s v="High"/>
  </r>
  <r>
    <s v="Team C"/>
    <s v="Agent_4"/>
    <s v="Thursday"/>
    <s v="Morning"/>
    <s v="3-6 months"/>
    <n v="48"/>
    <n v="5.55"/>
    <n v="0.03"/>
    <n v="0.82"/>
    <x v="8"/>
    <n v="0"/>
    <n v="23.32"/>
    <s v="Low"/>
  </r>
  <r>
    <s v="Team C"/>
    <s v="Agent_4"/>
    <s v="Thursday"/>
    <s v="Afternoon"/>
    <s v="6+ months"/>
    <n v="63"/>
    <n v="4.72"/>
    <n v="0.11"/>
    <n v="0.83"/>
    <x v="42"/>
    <n v="0"/>
    <n v="22.08"/>
    <s v="Low"/>
  </r>
  <r>
    <s v="Team C"/>
    <s v="Agent_4"/>
    <s v="Thursday"/>
    <s v="Evening"/>
    <s v="6+ months"/>
    <n v="57"/>
    <n v="6.16"/>
    <n v="0.08"/>
    <n v="0.61"/>
    <x v="1"/>
    <n v="2"/>
    <n v="28.24"/>
    <s v="High"/>
  </r>
  <r>
    <s v="Team C"/>
    <s v="Agent_4"/>
    <s v="Friday"/>
    <s v="Morning"/>
    <s v="3-6 months"/>
    <n v="73"/>
    <n v="5.61"/>
    <n v="0.08"/>
    <n v="0.88"/>
    <x v="100"/>
    <n v="0"/>
    <n v="23.42"/>
    <s v="Low"/>
  </r>
  <r>
    <s v="Team C"/>
    <s v="Agent_4"/>
    <s v="Friday"/>
    <s v="Afternoon"/>
    <s v="0-3 months"/>
    <n v="62"/>
    <n v="4.1900000000000004"/>
    <n v="0.2"/>
    <n v="0.89"/>
    <x v="10"/>
    <n v="1"/>
    <n v="23.28"/>
    <s v="Low"/>
  </r>
  <r>
    <s v="Team C"/>
    <s v="Agent_4"/>
    <s v="Friday"/>
    <s v="Evening"/>
    <s v="6+ months"/>
    <n v="56"/>
    <n v="7.94"/>
    <n v="7.0000000000000007E-2"/>
    <n v="0.81"/>
    <x v="118"/>
    <n v="0"/>
    <n v="26.91"/>
    <s v="Low"/>
  </r>
  <r>
    <s v="Team C"/>
    <s v="Agent_5"/>
    <s v="Monday"/>
    <s v="Morning"/>
    <s v="6+ months"/>
    <n v="77"/>
    <n v="4.9800000000000004"/>
    <n v="0.06"/>
    <n v="0.79"/>
    <x v="116"/>
    <n v="3"/>
    <n v="28.47"/>
    <s v="High"/>
  </r>
  <r>
    <s v="Team C"/>
    <s v="Agent_5"/>
    <s v="Monday"/>
    <s v="Afternoon"/>
    <s v="0-3 months"/>
    <n v="45"/>
    <n v="5.21"/>
    <n v="0.24"/>
    <n v="0.89"/>
    <x v="116"/>
    <n v="2"/>
    <n v="26.82"/>
    <s v="Low"/>
  </r>
  <r>
    <s v="Team C"/>
    <s v="Agent_5"/>
    <s v="Monday"/>
    <s v="Evening"/>
    <s v="3-6 months"/>
    <n v="50"/>
    <n v="7.15"/>
    <n v="0.06"/>
    <n v="0.65"/>
    <x v="115"/>
    <n v="0"/>
    <n v="25.72"/>
    <s v="Low"/>
  </r>
  <r>
    <s v="Team C"/>
    <s v="Agent_5"/>
    <s v="Tuesday"/>
    <s v="Morning"/>
    <s v="6+ months"/>
    <n v="37"/>
    <n v="5.47"/>
    <n v="0.15"/>
    <n v="0.76"/>
    <x v="99"/>
    <n v="0"/>
    <n v="23.2"/>
    <s v="Low"/>
  </r>
  <r>
    <s v="Team C"/>
    <s v="Agent_5"/>
    <s v="Tuesday"/>
    <s v="Afternoon"/>
    <s v="3-6 months"/>
    <n v="66"/>
    <n v="5.36"/>
    <n v="0.12"/>
    <n v="0.87"/>
    <x v="109"/>
    <n v="1"/>
    <n v="25.04"/>
    <s v="Low"/>
  </r>
  <r>
    <s v="Team C"/>
    <s v="Agent_5"/>
    <s v="Tuesday"/>
    <s v="Evening"/>
    <s v="6+ months"/>
    <n v="31"/>
    <n v="6.43"/>
    <n v="0.03"/>
    <n v="0.7"/>
    <x v="98"/>
    <n v="0"/>
    <n v="24.64"/>
    <s v="Low"/>
  </r>
  <r>
    <s v="Team C"/>
    <s v="Agent_5"/>
    <s v="Wednesday"/>
    <s v="Morning"/>
    <s v="3-6 months"/>
    <n v="60"/>
    <n v="5.81"/>
    <n v="0.03"/>
    <n v="0.87"/>
    <x v="47"/>
    <n v="0"/>
    <n v="23.72"/>
    <s v="Low"/>
  </r>
  <r>
    <s v="Team C"/>
    <s v="Agent_5"/>
    <s v="Wednesday"/>
    <s v="Afternoon"/>
    <s v="6+ months"/>
    <n v="67"/>
    <n v="5.45"/>
    <n v="0.06"/>
    <n v="0.76"/>
    <x v="34"/>
    <n v="1"/>
    <n v="25.18"/>
    <s v="Low"/>
  </r>
  <r>
    <s v="Team C"/>
    <s v="Agent_5"/>
    <s v="Wednesday"/>
    <s v="Evening"/>
    <s v="6+ months"/>
    <n v="31"/>
    <n v="5.84"/>
    <n v="0.06"/>
    <n v="0.66"/>
    <x v="31"/>
    <n v="2"/>
    <n v="27.76"/>
    <s v="High"/>
  </r>
  <r>
    <s v="Team C"/>
    <s v="Agent_5"/>
    <s v="Thursday"/>
    <s v="Morning"/>
    <s v="6+ months"/>
    <n v="56"/>
    <n v="5.29"/>
    <n v="0.02"/>
    <n v="0.84"/>
    <x v="36"/>
    <n v="0"/>
    <n v="22.94"/>
    <s v="Low"/>
  </r>
  <r>
    <s v="Team C"/>
    <s v="Agent_5"/>
    <s v="Thursday"/>
    <s v="Afternoon"/>
    <s v="0-3 months"/>
    <n v="42"/>
    <n v="4.3499999999999996"/>
    <n v="0.21"/>
    <n v="0.77"/>
    <x v="113"/>
    <n v="0"/>
    <n v="21.52"/>
    <s v="Low"/>
  </r>
  <r>
    <s v="Team C"/>
    <s v="Agent_5"/>
    <s v="Thursday"/>
    <s v="Evening"/>
    <s v="3-6 months"/>
    <n v="39"/>
    <n v="7.2"/>
    <n v="0.13"/>
    <n v="0.74"/>
    <x v="60"/>
    <n v="0"/>
    <n v="25.8"/>
    <s v="Low"/>
  </r>
  <r>
    <s v="Team C"/>
    <s v="Agent_5"/>
    <s v="Friday"/>
    <s v="Morning"/>
    <s v="3-6 months"/>
    <n v="75"/>
    <n v="6.48"/>
    <n v="0.09"/>
    <n v="0.83"/>
    <x v="121"/>
    <n v="1"/>
    <n v="26.72"/>
    <s v="Low"/>
  </r>
  <r>
    <s v="Team C"/>
    <s v="Agent_5"/>
    <s v="Friday"/>
    <s v="Afternoon"/>
    <s v="0-3 months"/>
    <n v="60"/>
    <n v="6.51"/>
    <n v="0.12"/>
    <n v="0.77"/>
    <x v="27"/>
    <n v="0"/>
    <n v="24.76"/>
    <s v="Low"/>
  </r>
  <r>
    <s v="Team C"/>
    <s v="Agent_5"/>
    <s v="Friday"/>
    <s v="Evening"/>
    <s v="6+ months"/>
    <n v="44"/>
    <n v="6.71"/>
    <n v="0.1"/>
    <n v="0.82"/>
    <x v="57"/>
    <n v="0"/>
    <n v="25.06"/>
    <s v="Low"/>
  </r>
  <r>
    <s v="Team C"/>
    <s v="Agent_6"/>
    <s v="Monday"/>
    <s v="Morning"/>
    <s v="3-6 months"/>
    <n v="73"/>
    <n v="6.93"/>
    <n v="0.12"/>
    <n v="0.8"/>
    <x v="0"/>
    <n v="0"/>
    <n v="25.4"/>
    <s v="Low"/>
  </r>
  <r>
    <s v="Team C"/>
    <s v="Agent_6"/>
    <s v="Monday"/>
    <s v="Afternoon"/>
    <s v="0-3 months"/>
    <n v="56"/>
    <n v="6.21"/>
    <n v="0.28000000000000003"/>
    <n v="0.89"/>
    <x v="6"/>
    <n v="0"/>
    <n v="24.32"/>
    <s v="Low"/>
  </r>
  <r>
    <s v="Team C"/>
    <s v="Agent_6"/>
    <s v="Monday"/>
    <s v="Evening"/>
    <s v="6+ months"/>
    <n v="66"/>
    <n v="7.06"/>
    <n v="0.04"/>
    <n v="0.61"/>
    <x v="66"/>
    <n v="2"/>
    <n v="29.59"/>
    <s v="High"/>
  </r>
  <r>
    <s v="Team C"/>
    <s v="Agent_6"/>
    <s v="Tuesday"/>
    <s v="Morning"/>
    <s v="6+ months"/>
    <n v="39"/>
    <n v="5.59"/>
    <n v="0.13"/>
    <n v="0.78"/>
    <x v="32"/>
    <n v="0"/>
    <n v="23.38"/>
    <s v="Low"/>
  </r>
  <r>
    <s v="Team C"/>
    <s v="Agent_6"/>
    <s v="Tuesday"/>
    <s v="Afternoon"/>
    <s v="3-6 months"/>
    <n v="54"/>
    <n v="5.39"/>
    <n v="0.06"/>
    <n v="0.77"/>
    <x v="91"/>
    <n v="1"/>
    <n v="25.08"/>
    <s v="Low"/>
  </r>
  <r>
    <s v="Team C"/>
    <s v="Agent_6"/>
    <s v="Tuesday"/>
    <s v="Evening"/>
    <s v="0-3 months"/>
    <n v="66"/>
    <n v="3.57"/>
    <n v="0.27"/>
    <n v="0.72"/>
    <x v="13"/>
    <n v="1"/>
    <n v="22.36"/>
    <s v="Low"/>
  </r>
  <r>
    <s v="Team C"/>
    <s v="Agent_6"/>
    <s v="Wednesday"/>
    <s v="Morning"/>
    <s v="6+ months"/>
    <n v="70"/>
    <n v="5.97"/>
    <n v="0.03"/>
    <n v="0.87"/>
    <x v="111"/>
    <n v="2"/>
    <n v="27.96"/>
    <s v="High"/>
  </r>
  <r>
    <s v="Team C"/>
    <s v="Agent_6"/>
    <s v="Wednesday"/>
    <s v="Afternoon"/>
    <s v="6+ months"/>
    <n v="45"/>
    <n v="6.93"/>
    <n v="0.11"/>
    <n v="0.85"/>
    <x v="93"/>
    <n v="1"/>
    <n v="27.4"/>
    <s v="Low"/>
  </r>
  <r>
    <s v="Team C"/>
    <s v="Agent_6"/>
    <s v="Wednesday"/>
    <s v="Evening"/>
    <s v="0-3 months"/>
    <n v="38"/>
    <n v="5.67"/>
    <n v="0.08"/>
    <n v="0.76"/>
    <x v="85"/>
    <n v="0"/>
    <n v="23.5"/>
    <s v="Low"/>
  </r>
  <r>
    <s v="Team C"/>
    <s v="Agent_6"/>
    <s v="Thursday"/>
    <s v="Morning"/>
    <s v="3-6 months"/>
    <n v="50"/>
    <n v="5.66"/>
    <n v="0.1"/>
    <n v="0.76"/>
    <x v="120"/>
    <n v="1"/>
    <n v="25.49"/>
    <s v="Low"/>
  </r>
  <r>
    <s v="Team C"/>
    <s v="Agent_6"/>
    <s v="Thursday"/>
    <s v="Afternoon"/>
    <s v="6+ months"/>
    <n v="39"/>
    <n v="7.96"/>
    <n v="0.09"/>
    <n v="0.76"/>
    <x v="86"/>
    <n v="0"/>
    <n v="26.94"/>
    <s v="Low"/>
  </r>
  <r>
    <s v="Team C"/>
    <s v="Agent_6"/>
    <s v="Thursday"/>
    <s v="Evening"/>
    <s v="6+ months"/>
    <n v="31"/>
    <n v="5.78"/>
    <n v="7.0000000000000007E-2"/>
    <n v="0.73"/>
    <x v="100"/>
    <n v="0"/>
    <n v="23.67"/>
    <s v="Low"/>
  </r>
  <r>
    <s v="Team C"/>
    <s v="Agent_6"/>
    <s v="Friday"/>
    <s v="Morning"/>
    <s v="3-6 months"/>
    <n v="65"/>
    <n v="3.36"/>
    <n v="0.03"/>
    <n v="0.81"/>
    <x v="118"/>
    <n v="0"/>
    <n v="20.04"/>
    <s v="Low"/>
  </r>
  <r>
    <s v="Team C"/>
    <s v="Agent_6"/>
    <s v="Friday"/>
    <s v="Afternoon"/>
    <s v="0-3 months"/>
    <n v="46"/>
    <n v="6.44"/>
    <n v="0.08"/>
    <n v="0.75"/>
    <x v="122"/>
    <n v="2"/>
    <n v="28.66"/>
    <s v="High"/>
  </r>
  <r>
    <s v="Team C"/>
    <s v="Agent_6"/>
    <s v="Friday"/>
    <s v="Evening"/>
    <s v="0-3 months"/>
    <n v="35"/>
    <n v="6.02"/>
    <n v="0.16"/>
    <n v="0.68"/>
    <x v="35"/>
    <n v="1"/>
    <n v="26.03"/>
    <s v="Low"/>
  </r>
  <r>
    <s v="Team C"/>
    <s v="Agent_7"/>
    <s v="Monday"/>
    <s v="Morning"/>
    <s v="0-3 months"/>
    <n v="41"/>
    <n v="6.16"/>
    <n v="0.26"/>
    <n v="0.75"/>
    <x v="63"/>
    <n v="1"/>
    <n v="26.24"/>
    <s v="Low"/>
  </r>
  <r>
    <s v="Team C"/>
    <s v="Agent_7"/>
    <s v="Monday"/>
    <s v="Afternoon"/>
    <s v="6+ months"/>
    <n v="37"/>
    <n v="6.05"/>
    <n v="0.05"/>
    <n v="0.77"/>
    <x v="63"/>
    <n v="1"/>
    <n v="26.08"/>
    <s v="Low"/>
  </r>
  <r>
    <s v="Team C"/>
    <s v="Agent_7"/>
    <s v="Monday"/>
    <s v="Evening"/>
    <s v="6+ months"/>
    <n v="63"/>
    <n v="7.67"/>
    <n v="0.08"/>
    <n v="0.61"/>
    <x v="19"/>
    <n v="2"/>
    <n v="30.5"/>
    <s v="High"/>
  </r>
  <r>
    <s v="Team C"/>
    <s v="Agent_7"/>
    <s v="Tuesday"/>
    <s v="Morning"/>
    <s v="6+ months"/>
    <n v="61"/>
    <n v="5.89"/>
    <n v="0.1"/>
    <n v="0.85"/>
    <x v="66"/>
    <n v="1"/>
    <n v="25.84"/>
    <s v="Low"/>
  </r>
  <r>
    <s v="Team C"/>
    <s v="Agent_7"/>
    <s v="Tuesday"/>
    <s v="Afternoon"/>
    <s v="0-3 months"/>
    <n v="55"/>
    <n v="5.62"/>
    <n v="0.21"/>
    <n v="0.87"/>
    <x v="90"/>
    <n v="0"/>
    <n v="23.43"/>
    <s v="Low"/>
  </r>
  <r>
    <s v="Team C"/>
    <s v="Agent_7"/>
    <s v="Tuesday"/>
    <s v="Evening"/>
    <s v="6+ months"/>
    <n v="69"/>
    <n v="5.68"/>
    <n v="0.14000000000000001"/>
    <n v="0.64"/>
    <x v="89"/>
    <n v="2"/>
    <n v="27.52"/>
    <s v="Low"/>
  </r>
  <r>
    <s v="Team C"/>
    <s v="Agent_7"/>
    <s v="Wednesday"/>
    <s v="Morning"/>
    <s v="6+ months"/>
    <n v="67"/>
    <n v="5.74"/>
    <n v="0.14000000000000001"/>
    <n v="0.86"/>
    <x v="110"/>
    <n v="0"/>
    <n v="23.61"/>
    <s v="Low"/>
  </r>
  <r>
    <s v="Team C"/>
    <s v="Agent_7"/>
    <s v="Wednesday"/>
    <s v="Afternoon"/>
    <s v="0-3 months"/>
    <n v="70"/>
    <n v="4.16"/>
    <n v="0.16"/>
    <n v="0.77"/>
    <x v="19"/>
    <n v="0"/>
    <n v="21.24"/>
    <s v="Low"/>
  </r>
  <r>
    <s v="Team C"/>
    <s v="Agent_7"/>
    <s v="Wednesday"/>
    <s v="Evening"/>
    <s v="0-3 months"/>
    <n v="50"/>
    <n v="6.11"/>
    <n v="0.28000000000000003"/>
    <n v="0.79"/>
    <x v="8"/>
    <n v="0"/>
    <n v="24.16"/>
    <s v="Low"/>
  </r>
  <r>
    <s v="Team C"/>
    <s v="Agent_7"/>
    <s v="Thursday"/>
    <s v="Morning"/>
    <s v="3-6 months"/>
    <n v="32"/>
    <n v="6.41"/>
    <n v="0.04"/>
    <n v="0.82"/>
    <x v="123"/>
    <n v="0"/>
    <n v="24.62"/>
    <s v="Low"/>
  </r>
  <r>
    <s v="Team C"/>
    <s v="Agent_7"/>
    <s v="Thursday"/>
    <s v="Afternoon"/>
    <s v="6+ months"/>
    <n v="77"/>
    <n v="6.01"/>
    <n v="7.0000000000000007E-2"/>
    <n v="0.85"/>
    <x v="13"/>
    <n v="1"/>
    <n v="26.02"/>
    <s v="Low"/>
  </r>
  <r>
    <s v="Team C"/>
    <s v="Agent_7"/>
    <s v="Thursday"/>
    <s v="Evening"/>
    <s v="3-6 months"/>
    <n v="55"/>
    <n v="6.18"/>
    <n v="0.09"/>
    <n v="0.65"/>
    <x v="43"/>
    <n v="2"/>
    <n v="28.27"/>
    <s v="High"/>
  </r>
  <r>
    <s v="Team C"/>
    <s v="Agent_7"/>
    <s v="Friday"/>
    <s v="Morning"/>
    <s v="0-3 months"/>
    <n v="67"/>
    <n v="6.16"/>
    <n v="0.1"/>
    <n v="0.87"/>
    <x v="30"/>
    <n v="2"/>
    <n v="28.24"/>
    <s v="High"/>
  </r>
  <r>
    <s v="Team C"/>
    <s v="Agent_7"/>
    <s v="Friday"/>
    <s v="Afternoon"/>
    <s v="6+ months"/>
    <n v="45"/>
    <n v="6.04"/>
    <n v="0.15"/>
    <n v="0.86"/>
    <x v="72"/>
    <n v="0"/>
    <n v="24.06"/>
    <s v="Low"/>
  </r>
  <r>
    <s v="Team C"/>
    <s v="Agent_7"/>
    <s v="Friday"/>
    <s v="Evening"/>
    <s v="6+ months"/>
    <n v="76"/>
    <n v="5.76"/>
    <n v="0.12"/>
    <n v="0.84"/>
    <x v="118"/>
    <n v="2"/>
    <n v="27.64"/>
    <s v="Low"/>
  </r>
  <r>
    <s v="Team C"/>
    <s v="Agent_8"/>
    <s v="Monday"/>
    <s v="Morning"/>
    <s v="3-6 months"/>
    <n v="66"/>
    <n v="4.45"/>
    <n v="0.02"/>
    <n v="0.8"/>
    <x v="64"/>
    <n v="0"/>
    <n v="21.68"/>
    <s v="Low"/>
  </r>
  <r>
    <s v="Team C"/>
    <s v="Agent_8"/>
    <s v="Monday"/>
    <s v="Afternoon"/>
    <s v="3-6 months"/>
    <n v="53"/>
    <n v="5.51"/>
    <n v="0.09"/>
    <n v="0.87"/>
    <x v="70"/>
    <n v="0"/>
    <n v="23.26"/>
    <s v="Low"/>
  </r>
  <r>
    <s v="Team C"/>
    <s v="Agent_8"/>
    <s v="Monday"/>
    <s v="Evening"/>
    <s v="3-6 months"/>
    <n v="73"/>
    <n v="6.47"/>
    <n v="0.11"/>
    <n v="0.63"/>
    <x v="124"/>
    <n v="0"/>
    <n v="24.7"/>
    <s v="Low"/>
  </r>
  <r>
    <s v="Team C"/>
    <s v="Agent_8"/>
    <s v="Tuesday"/>
    <s v="Morning"/>
    <s v="6+ months"/>
    <n v="30"/>
    <n v="4.66"/>
    <n v="0.12"/>
    <n v="0.89"/>
    <x v="115"/>
    <n v="0"/>
    <n v="21.99"/>
    <s v="Low"/>
  </r>
  <r>
    <s v="Team C"/>
    <s v="Agent_8"/>
    <s v="Tuesday"/>
    <s v="Afternoon"/>
    <s v="3-6 months"/>
    <n v="47"/>
    <n v="4.4000000000000004"/>
    <n v="0.15"/>
    <n v="0.81"/>
    <x v="90"/>
    <n v="0"/>
    <n v="21.6"/>
    <s v="Low"/>
  </r>
  <r>
    <s v="Team C"/>
    <s v="Agent_8"/>
    <s v="Tuesday"/>
    <s v="Evening"/>
    <s v="6+ months"/>
    <n v="30"/>
    <n v="6.01"/>
    <n v="0.05"/>
    <n v="0.61"/>
    <x v="65"/>
    <n v="0"/>
    <n v="24.02"/>
    <s v="Low"/>
  </r>
  <r>
    <s v="Team C"/>
    <s v="Agent_8"/>
    <s v="Wednesday"/>
    <s v="Morning"/>
    <s v="6+ months"/>
    <n v="74"/>
    <n v="5.05"/>
    <n v="0.05"/>
    <n v="0.81"/>
    <x v="12"/>
    <n v="0"/>
    <n v="22.58"/>
    <s v="Low"/>
  </r>
  <r>
    <s v="Team C"/>
    <s v="Agent_8"/>
    <s v="Wednesday"/>
    <s v="Afternoon"/>
    <s v="3-6 months"/>
    <n v="41"/>
    <n v="5.19"/>
    <n v="7.0000000000000007E-2"/>
    <n v="0.88"/>
    <x v="47"/>
    <n v="2"/>
    <n v="26.78"/>
    <s v="Low"/>
  </r>
  <r>
    <s v="Team C"/>
    <s v="Agent_8"/>
    <s v="Wednesday"/>
    <s v="Evening"/>
    <s v="3-6 months"/>
    <n v="33"/>
    <n v="6.96"/>
    <n v="0.13"/>
    <n v="0.82"/>
    <x v="8"/>
    <n v="0"/>
    <n v="25.44"/>
    <s v="Low"/>
  </r>
  <r>
    <s v="Team C"/>
    <s v="Agent_8"/>
    <s v="Thursday"/>
    <s v="Morning"/>
    <s v="0-3 months"/>
    <n v="77"/>
    <n v="6.89"/>
    <n v="0.1"/>
    <n v="0.76"/>
    <x v="71"/>
    <n v="2"/>
    <n v="29.34"/>
    <s v="High"/>
  </r>
  <r>
    <s v="Team C"/>
    <s v="Agent_8"/>
    <s v="Thursday"/>
    <s v="Afternoon"/>
    <s v="3-6 months"/>
    <n v="32"/>
    <n v="5.58"/>
    <n v="0.03"/>
    <n v="0.87"/>
    <x v="120"/>
    <n v="1"/>
    <n v="25.37"/>
    <s v="Low"/>
  </r>
  <r>
    <s v="Team C"/>
    <s v="Agent_8"/>
    <s v="Thursday"/>
    <s v="Evening"/>
    <s v="6+ months"/>
    <n v="53"/>
    <n v="5.05"/>
    <n v="0.13"/>
    <n v="0.73"/>
    <x v="31"/>
    <n v="0"/>
    <n v="22.58"/>
    <s v="Low"/>
  </r>
  <r>
    <s v="Team C"/>
    <s v="Agent_8"/>
    <s v="Friday"/>
    <s v="Morning"/>
    <s v="0-3 months"/>
    <n v="70"/>
    <n v="6.42"/>
    <n v="0.05"/>
    <n v="0.81"/>
    <x v="2"/>
    <n v="0"/>
    <n v="24.63"/>
    <s v="Low"/>
  </r>
  <r>
    <s v="Team C"/>
    <s v="Agent_8"/>
    <s v="Friday"/>
    <s v="Afternoon"/>
    <s v="6+ months"/>
    <n v="36"/>
    <n v="6.99"/>
    <n v="0.03"/>
    <n v="0.78"/>
    <x v="41"/>
    <n v="1"/>
    <n v="27.48"/>
    <s v="Low"/>
  </r>
  <r>
    <s v="Team C"/>
    <s v="Agent_8"/>
    <s v="Friday"/>
    <s v="Evening"/>
    <s v="3-6 months"/>
    <n v="70"/>
    <n v="5.84"/>
    <n v="0.13"/>
    <n v="0.71"/>
    <x v="125"/>
    <n v="0"/>
    <n v="23.76"/>
    <s v="Low"/>
  </r>
  <r>
    <s v="Team C"/>
    <s v="Agent_9"/>
    <s v="Monday"/>
    <s v="Morning"/>
    <s v="6+ months"/>
    <n v="56"/>
    <n v="5.38"/>
    <n v="0.06"/>
    <n v="0.9"/>
    <x v="28"/>
    <n v="0"/>
    <n v="23.07"/>
    <s v="Low"/>
  </r>
  <r>
    <s v="Team C"/>
    <s v="Agent_9"/>
    <s v="Monday"/>
    <s v="Afternoon"/>
    <s v="6+ months"/>
    <n v="50"/>
    <n v="5.62"/>
    <n v="0.04"/>
    <n v="0.81"/>
    <x v="111"/>
    <n v="1"/>
    <n v="25.43"/>
    <s v="Low"/>
  </r>
  <r>
    <s v="Team C"/>
    <s v="Agent_9"/>
    <s v="Monday"/>
    <s v="Evening"/>
    <s v="0-3 months"/>
    <n v="63"/>
    <n v="6.42"/>
    <n v="0.28999999999999998"/>
    <n v="0.61"/>
    <x v="96"/>
    <n v="1"/>
    <n v="26.63"/>
    <s v="Low"/>
  </r>
  <r>
    <s v="Team C"/>
    <s v="Agent_9"/>
    <s v="Tuesday"/>
    <s v="Morning"/>
    <s v="0-3 months"/>
    <n v="54"/>
    <n v="7.4"/>
    <n v="0.08"/>
    <n v="0.83"/>
    <x v="49"/>
    <n v="1"/>
    <n v="28.1"/>
    <s v="High"/>
  </r>
  <r>
    <s v="Team C"/>
    <s v="Agent_9"/>
    <s v="Tuesday"/>
    <s v="Afternoon"/>
    <s v="0-3 months"/>
    <n v="46"/>
    <n v="7.08"/>
    <n v="0.17"/>
    <n v="0.89"/>
    <x v="18"/>
    <n v="1"/>
    <n v="27.62"/>
    <s v="Low"/>
  </r>
  <r>
    <s v="Team C"/>
    <s v="Agent_9"/>
    <s v="Tuesday"/>
    <s v="Evening"/>
    <s v="6+ months"/>
    <n v="46"/>
    <n v="7"/>
    <n v="0.02"/>
    <n v="0.61"/>
    <x v="25"/>
    <n v="0"/>
    <n v="25.5"/>
    <s v="Low"/>
  </r>
  <r>
    <s v="Team C"/>
    <s v="Agent_9"/>
    <s v="Wednesday"/>
    <s v="Morning"/>
    <s v="3-6 months"/>
    <n v="32"/>
    <n v="6.31"/>
    <n v="0.11"/>
    <n v="0.82"/>
    <x v="8"/>
    <n v="0"/>
    <n v="24.46"/>
    <s v="Low"/>
  </r>
  <r>
    <s v="Team C"/>
    <s v="Agent_9"/>
    <s v="Wednesday"/>
    <s v="Afternoon"/>
    <s v="3-6 months"/>
    <n v="65"/>
    <n v="5.55"/>
    <n v="0.12"/>
    <n v="0.86"/>
    <x v="52"/>
    <n v="0"/>
    <n v="23.32"/>
    <s v="Low"/>
  </r>
  <r>
    <s v="Team C"/>
    <s v="Agent_9"/>
    <s v="Wednesday"/>
    <s v="Evening"/>
    <s v="6+ months"/>
    <n v="69"/>
    <n v="6.49"/>
    <n v="0.13"/>
    <n v="0.62"/>
    <x v="66"/>
    <n v="0"/>
    <n v="24.74"/>
    <s v="Low"/>
  </r>
  <r>
    <s v="Team C"/>
    <s v="Agent_9"/>
    <s v="Thursday"/>
    <s v="Morning"/>
    <s v="6+ months"/>
    <n v="62"/>
    <n v="7.25"/>
    <n v="0.15"/>
    <n v="0.76"/>
    <x v="46"/>
    <n v="1"/>
    <n v="27.88"/>
    <s v="High"/>
  </r>
  <r>
    <s v="Team C"/>
    <s v="Agent_9"/>
    <s v="Thursday"/>
    <s v="Afternoon"/>
    <s v="6+ months"/>
    <n v="42"/>
    <n v="6.19"/>
    <n v="0.11"/>
    <n v="0.84"/>
    <x v="45"/>
    <n v="2"/>
    <n v="28.28"/>
    <s v="High"/>
  </r>
  <r>
    <s v="Team C"/>
    <s v="Agent_9"/>
    <s v="Thursday"/>
    <s v="Evening"/>
    <s v="3-6 months"/>
    <n v="37"/>
    <n v="6.23"/>
    <n v="0.05"/>
    <n v="0.76"/>
    <x v="50"/>
    <n v="2"/>
    <n v="28.34"/>
    <s v="High"/>
  </r>
  <r>
    <s v="Team C"/>
    <s v="Agent_9"/>
    <s v="Friday"/>
    <s v="Morning"/>
    <s v="6+ months"/>
    <n v="47"/>
    <n v="5.34"/>
    <n v="0.04"/>
    <n v="0.75"/>
    <x v="107"/>
    <n v="0"/>
    <n v="23.01"/>
    <s v="Low"/>
  </r>
  <r>
    <s v="Team C"/>
    <s v="Agent_9"/>
    <s v="Friday"/>
    <s v="Afternoon"/>
    <s v="3-6 months"/>
    <n v="35"/>
    <n v="5.5"/>
    <n v="0.06"/>
    <n v="0.86"/>
    <x v="28"/>
    <n v="0"/>
    <n v="23.25"/>
    <s v="Low"/>
  </r>
  <r>
    <s v="Team C"/>
    <s v="Agent_9"/>
    <s v="Friday"/>
    <s v="Evening"/>
    <s v="6+ months"/>
    <n v="79"/>
    <n v="7.81"/>
    <n v="0.06"/>
    <n v="0.61"/>
    <x v="75"/>
    <n v="2"/>
    <n v="30.72"/>
    <s v="High"/>
  </r>
  <r>
    <s v="Team C"/>
    <s v="Agent_10"/>
    <s v="Monday"/>
    <s v="Morning"/>
    <s v="3-6 months"/>
    <n v="36"/>
    <n v="5.34"/>
    <n v="0.1"/>
    <n v="0.78"/>
    <x v="111"/>
    <n v="1"/>
    <n v="25.01"/>
    <s v="Low"/>
  </r>
  <r>
    <s v="Team C"/>
    <s v="Agent_10"/>
    <s v="Monday"/>
    <s v="Afternoon"/>
    <s v="0-3 months"/>
    <n v="58"/>
    <n v="6.42"/>
    <n v="0.28000000000000003"/>
    <n v="0.75"/>
    <x v="53"/>
    <n v="3"/>
    <n v="30.63"/>
    <s v="High"/>
  </r>
  <r>
    <s v="Team C"/>
    <s v="Agent_10"/>
    <s v="Monday"/>
    <s v="Evening"/>
    <s v="0-3 months"/>
    <n v="34"/>
    <n v="5.83"/>
    <n v="0.28999999999999998"/>
    <n v="0.74"/>
    <x v="84"/>
    <n v="0"/>
    <n v="23.74"/>
    <s v="Low"/>
  </r>
  <r>
    <s v="Team C"/>
    <s v="Agent_10"/>
    <s v="Tuesday"/>
    <s v="Morning"/>
    <s v="0-3 months"/>
    <n v="78"/>
    <n v="4.5"/>
    <n v="0.1"/>
    <n v="0.82"/>
    <x v="20"/>
    <n v="0"/>
    <n v="21.75"/>
    <s v="Low"/>
  </r>
  <r>
    <s v="Team C"/>
    <s v="Agent_10"/>
    <s v="Tuesday"/>
    <s v="Afternoon"/>
    <s v="3-6 months"/>
    <n v="51"/>
    <n v="5.35"/>
    <n v="0.04"/>
    <n v="0.84"/>
    <x v="105"/>
    <n v="2"/>
    <n v="27.02"/>
    <s v="Low"/>
  </r>
  <r>
    <s v="Team C"/>
    <s v="Agent_10"/>
    <s v="Tuesday"/>
    <s v="Evening"/>
    <s v="0-3 months"/>
    <n v="70"/>
    <n v="6.2"/>
    <n v="0.21"/>
    <n v="0.76"/>
    <x v="20"/>
    <n v="0"/>
    <n v="24.3"/>
    <s v="Low"/>
  </r>
  <r>
    <s v="Team C"/>
    <s v="Agent_10"/>
    <s v="Wednesday"/>
    <s v="Morning"/>
    <s v="6+ months"/>
    <n v="44"/>
    <n v="5.19"/>
    <n v="0.09"/>
    <n v="0.82"/>
    <x v="11"/>
    <n v="0"/>
    <n v="22.78"/>
    <s v="Low"/>
  </r>
  <r>
    <s v="Team C"/>
    <s v="Agent_10"/>
    <s v="Wednesday"/>
    <s v="Afternoon"/>
    <s v="3-6 months"/>
    <n v="31"/>
    <n v="5.79"/>
    <n v="0.1"/>
    <n v="0.86"/>
    <x v="108"/>
    <n v="0"/>
    <n v="23.68"/>
    <s v="Low"/>
  </r>
  <r>
    <s v="Team C"/>
    <s v="Agent_10"/>
    <s v="Wednesday"/>
    <s v="Evening"/>
    <s v="0-3 months"/>
    <n v="33"/>
    <n v="6.28"/>
    <n v="0.28000000000000003"/>
    <n v="0.74"/>
    <x v="4"/>
    <n v="0"/>
    <n v="24.42"/>
    <s v="Low"/>
  </r>
  <r>
    <s v="Team C"/>
    <s v="Agent_10"/>
    <s v="Thursday"/>
    <s v="Morning"/>
    <s v="6+ months"/>
    <n v="75"/>
    <n v="6.56"/>
    <n v="0.15"/>
    <n v="0.77"/>
    <x v="126"/>
    <n v="0"/>
    <n v="24.84"/>
    <s v="Low"/>
  </r>
  <r>
    <s v="Team C"/>
    <s v="Agent_10"/>
    <s v="Thursday"/>
    <s v="Afternoon"/>
    <s v="0-3 months"/>
    <n v="50"/>
    <n v="4.9800000000000004"/>
    <n v="0.28000000000000003"/>
    <n v="0.82"/>
    <x v="96"/>
    <n v="0"/>
    <n v="22.47"/>
    <s v="Low"/>
  </r>
  <r>
    <s v="Team C"/>
    <s v="Agent_10"/>
    <s v="Thursday"/>
    <s v="Evening"/>
    <s v="6+ months"/>
    <n v="55"/>
    <n v="7.97"/>
    <n v="0.11"/>
    <n v="0.65"/>
    <x v="103"/>
    <n v="2"/>
    <n v="30.96"/>
    <s v="High"/>
  </r>
  <r>
    <s v="Team C"/>
    <s v="Agent_10"/>
    <s v="Friday"/>
    <s v="Morning"/>
    <s v="0-3 months"/>
    <n v="76"/>
    <n v="6.54"/>
    <n v="0.06"/>
    <n v="0.8"/>
    <x v="9"/>
    <n v="0"/>
    <n v="24.81"/>
    <s v="Low"/>
  </r>
  <r>
    <s v="Team C"/>
    <s v="Agent_10"/>
    <s v="Friday"/>
    <s v="Afternoon"/>
    <s v="6+ months"/>
    <n v="40"/>
    <n v="7.71"/>
    <n v="0.1"/>
    <n v="0.85"/>
    <x v="102"/>
    <n v="3"/>
    <n v="32.56"/>
    <s v="High"/>
  </r>
  <r>
    <s v="Team C"/>
    <s v="Agent_10"/>
    <s v="Friday"/>
    <s v="Evening"/>
    <s v="6+ months"/>
    <n v="67"/>
    <n v="5.7"/>
    <n v="7.0000000000000007E-2"/>
    <n v="0.72"/>
    <x v="31"/>
    <n v="1"/>
    <n v="25.55"/>
    <s v="Low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x v="0"/>
    <s v="Agent_1"/>
    <s v="Monday"/>
    <s v="Morning"/>
    <s v="3-6 months"/>
    <x v="0"/>
    <n v="6.54"/>
    <n v="0.1"/>
    <n v="0.82"/>
    <n v="3.63"/>
    <n v="0"/>
    <n v="24.81"/>
    <s v="Low"/>
    <m/>
    <m/>
    <m/>
    <m/>
    <m/>
    <m/>
    <m/>
    <m/>
    <m/>
    <m/>
    <m/>
    <m/>
    <m/>
  </r>
  <r>
    <x v="0"/>
    <s v="Agent_1"/>
    <s v="Monday"/>
    <s v="Afternoon"/>
    <s v="3-6 months"/>
    <x v="1"/>
    <n v="5.38"/>
    <n v="0.11"/>
    <n v="0.75"/>
    <n v="4.76"/>
    <n v="2"/>
    <n v="27.07"/>
    <s v="Low"/>
    <m/>
    <s v="Q1"/>
    <n v="24.262500000000003"/>
    <m/>
    <m/>
    <m/>
    <m/>
    <m/>
    <m/>
    <m/>
    <m/>
    <m/>
    <m/>
  </r>
  <r>
    <x v="0"/>
    <s v="Agent_1"/>
    <s v="Monday"/>
    <s v="Evening"/>
    <s v="0-3 months"/>
    <x v="2"/>
    <n v="7.46"/>
    <n v="0.05"/>
    <n v="0.61"/>
    <n v="4.18"/>
    <n v="0"/>
    <n v="26.19"/>
    <s v="Low"/>
    <m/>
    <s v="Q2"/>
    <n v="25.8"/>
    <m/>
    <m/>
    <m/>
    <m/>
    <m/>
    <m/>
    <m/>
    <m/>
    <m/>
    <m/>
  </r>
  <r>
    <x v="0"/>
    <s v="Agent_1"/>
    <s v="Tuesday"/>
    <s v="Morning"/>
    <s v="0-3 months"/>
    <x v="3"/>
    <n v="7.54"/>
    <n v="0.11"/>
    <n v="0.76"/>
    <n v="4.3"/>
    <n v="0"/>
    <n v="26.31"/>
    <s v="Low"/>
    <m/>
    <s v="Q3"/>
    <n v="27.695"/>
    <m/>
    <m/>
    <m/>
    <m/>
    <m/>
    <m/>
    <m/>
    <m/>
    <m/>
    <m/>
  </r>
  <r>
    <x v="0"/>
    <s v="Agent_1"/>
    <s v="Tuesday"/>
    <s v="Afternoon"/>
    <s v="6+ months"/>
    <x v="4"/>
    <n v="6.42"/>
    <n v="0.08"/>
    <n v="0.75"/>
    <n v="4.72"/>
    <n v="0"/>
    <n v="24.63"/>
    <s v="Low"/>
    <m/>
    <m/>
    <m/>
    <m/>
    <m/>
    <m/>
    <m/>
    <m/>
    <m/>
    <m/>
    <m/>
    <m/>
    <m/>
  </r>
  <r>
    <x v="0"/>
    <s v="Agent_1"/>
    <s v="Tuesday"/>
    <s v="Evening"/>
    <s v="3-6 months"/>
    <x v="5"/>
    <n v="6.83"/>
    <n v="0.03"/>
    <n v="0.77"/>
    <n v="4.07"/>
    <n v="0"/>
    <n v="25.24"/>
    <s v="Low"/>
    <m/>
    <s v="Count High For 0-3"/>
    <n v="112"/>
    <s v=" Experience Does not affect the cost"/>
    <m/>
    <m/>
    <m/>
    <m/>
    <m/>
    <m/>
    <m/>
    <m/>
    <m/>
  </r>
  <r>
    <x v="0"/>
    <s v="Agent_1"/>
    <s v="Wednesday"/>
    <s v="Morning"/>
    <s v="3-6 months"/>
    <x v="6"/>
    <n v="5.61"/>
    <n v="0.04"/>
    <n v="0.86"/>
    <n v="4.05"/>
    <n v="0"/>
    <n v="23.42"/>
    <s v="Low"/>
    <m/>
    <s v="Count High for 3-6"/>
    <n v="111"/>
    <m/>
    <m/>
    <m/>
    <m/>
    <m/>
    <m/>
    <m/>
    <m/>
    <m/>
    <m/>
  </r>
  <r>
    <x v="0"/>
    <s v="Agent_1"/>
    <s v="Wednesday"/>
    <s v="Afternoon"/>
    <s v="3-6 months"/>
    <x v="0"/>
    <n v="4.84"/>
    <n v="0.15"/>
    <n v="0.87"/>
    <n v="4.72"/>
    <n v="2"/>
    <n v="26.26"/>
    <s v="Low"/>
    <m/>
    <s v="Count High For 6+"/>
    <n v="113"/>
    <m/>
    <m/>
    <m/>
    <m/>
    <m/>
    <m/>
    <m/>
    <m/>
    <m/>
    <m/>
  </r>
  <r>
    <x v="0"/>
    <s v="Agent_1"/>
    <s v="Wednesday"/>
    <s v="Evening"/>
    <s v="3-6 months"/>
    <x v="7"/>
    <n v="6.75"/>
    <n v="0.09"/>
    <n v="0.84"/>
    <n v="4.5999999999999996"/>
    <n v="1"/>
    <n v="27.12"/>
    <s v="Low"/>
    <m/>
    <m/>
    <m/>
    <m/>
    <m/>
    <m/>
    <m/>
    <m/>
    <m/>
    <m/>
    <m/>
    <m/>
    <m/>
  </r>
  <r>
    <x v="0"/>
    <s v="Agent_1"/>
    <s v="Thursday"/>
    <s v="Morning"/>
    <s v="3-6 months"/>
    <x v="8"/>
    <n v="4.16"/>
    <n v="7.0000000000000007E-2"/>
    <n v="0.79"/>
    <n v="4.21"/>
    <n v="0"/>
    <n v="21.24"/>
    <s v="Low"/>
    <m/>
    <m/>
    <m/>
    <m/>
    <m/>
    <m/>
    <m/>
    <m/>
    <m/>
    <m/>
    <m/>
    <m/>
    <m/>
  </r>
  <r>
    <x v="0"/>
    <s v="Agent_1"/>
    <s v="Thursday"/>
    <s v="Afternoon"/>
    <s v="6+ months"/>
    <x v="9"/>
    <n v="5.96"/>
    <n v="7.0000000000000007E-2"/>
    <n v="0.79"/>
    <n v="3.52"/>
    <n v="0"/>
    <n v="23.94"/>
    <s v="Low"/>
    <m/>
    <m/>
    <m/>
    <m/>
    <m/>
    <m/>
    <m/>
    <m/>
    <m/>
    <m/>
    <m/>
    <m/>
    <m/>
  </r>
  <r>
    <x v="0"/>
    <s v="Agent_1"/>
    <s v="Thursday"/>
    <s v="Evening"/>
    <s v="6+ months"/>
    <x v="10"/>
    <n v="5.72"/>
    <n v="0.12"/>
    <n v="0.62"/>
    <n v="3.97"/>
    <n v="0"/>
    <n v="23.58"/>
    <s v="Low"/>
    <m/>
    <m/>
    <m/>
    <m/>
    <m/>
    <m/>
    <m/>
    <m/>
    <m/>
    <m/>
    <m/>
    <m/>
    <m/>
  </r>
  <r>
    <x v="0"/>
    <s v="Agent_1"/>
    <s v="Friday"/>
    <s v="Morning"/>
    <s v="6+ months"/>
    <x v="11"/>
    <n v="5.0999999999999996"/>
    <n v="7.0000000000000007E-2"/>
    <n v="0.85"/>
    <n v="4.37"/>
    <n v="0"/>
    <n v="22.65"/>
    <s v="Low"/>
    <m/>
    <s v="Count High for Morning"/>
    <n v="112"/>
    <m/>
    <m/>
    <m/>
    <m/>
    <m/>
    <m/>
    <m/>
    <m/>
    <m/>
    <m/>
  </r>
  <r>
    <x v="0"/>
    <s v="Agent_1"/>
    <s v="Friday"/>
    <s v="Afternoon"/>
    <s v="0-3 months"/>
    <x v="10"/>
    <n v="5.89"/>
    <n v="0.17"/>
    <n v="0.77"/>
    <n v="4.43"/>
    <n v="1"/>
    <n v="25.84"/>
    <s v="Low"/>
    <m/>
    <s v="Count High for Afternoon"/>
    <n v="113"/>
    <s v="Shift Does Not Affect the cost"/>
    <m/>
    <m/>
    <m/>
    <m/>
    <m/>
    <m/>
    <m/>
    <m/>
    <m/>
  </r>
  <r>
    <x v="0"/>
    <s v="Agent_1"/>
    <s v="Friday"/>
    <s v="Evening"/>
    <s v="3-6 months"/>
    <x v="12"/>
    <n v="9.3699999999999992"/>
    <n v="0.08"/>
    <n v="0.61"/>
    <n v="3.64"/>
    <n v="0"/>
    <n v="29.06"/>
    <s v="High"/>
    <m/>
    <s v="Count High for Evening"/>
    <n v="112"/>
    <m/>
    <m/>
    <m/>
    <m/>
    <m/>
    <m/>
    <m/>
    <m/>
    <m/>
    <m/>
  </r>
  <r>
    <x v="0"/>
    <s v="Agent_2"/>
    <s v="Monday"/>
    <s v="Morning"/>
    <s v="3-6 months"/>
    <x v="13"/>
    <n v="5.08"/>
    <n v="0.11"/>
    <n v="0.77"/>
    <n v="4.29"/>
    <n v="0"/>
    <n v="22.62"/>
    <s v="Low"/>
    <m/>
    <m/>
    <m/>
    <m/>
    <m/>
    <m/>
    <m/>
    <m/>
    <m/>
    <m/>
    <m/>
    <m/>
    <m/>
  </r>
  <r>
    <x v="0"/>
    <s v="Agent_2"/>
    <s v="Monday"/>
    <s v="Afternoon"/>
    <s v="0-3 months"/>
    <x v="14"/>
    <n v="5.79"/>
    <n v="0.09"/>
    <n v="0.89"/>
    <n v="4.55"/>
    <n v="1"/>
    <n v="25.68"/>
    <s v="Low"/>
    <m/>
    <s v="Count High for Team A"/>
    <n v="22"/>
    <m/>
    <m/>
    <m/>
    <m/>
    <m/>
    <m/>
    <m/>
    <m/>
    <m/>
    <m/>
  </r>
  <r>
    <x v="0"/>
    <s v="Agent_2"/>
    <s v="Monday"/>
    <s v="Evening"/>
    <s v="6+ months"/>
    <x v="15"/>
    <n v="5.57"/>
    <n v="0.05"/>
    <n v="0.7"/>
    <n v="4.6500000000000004"/>
    <n v="0"/>
    <n v="23.36"/>
    <s v="Low"/>
    <m/>
    <s v="Count High For Team B"/>
    <n v="64"/>
    <s v=" Team B does affect the cost"/>
    <m/>
    <m/>
    <m/>
    <m/>
    <m/>
    <m/>
    <m/>
    <m/>
    <m/>
  </r>
  <r>
    <x v="0"/>
    <s v="Agent_2"/>
    <s v="Tuesday"/>
    <s v="Morning"/>
    <s v="0-3 months"/>
    <x v="16"/>
    <n v="5.3"/>
    <n v="0.11"/>
    <n v="0.81"/>
    <n v="4.5599999999999996"/>
    <n v="2"/>
    <n v="26.95"/>
    <s v="Low"/>
    <m/>
    <s v="Count High For Team C"/>
    <n v="27"/>
    <m/>
    <m/>
    <m/>
    <m/>
    <m/>
    <m/>
    <m/>
    <m/>
    <m/>
    <m/>
  </r>
  <r>
    <x v="0"/>
    <s v="Agent_2"/>
    <s v="Tuesday"/>
    <s v="Afternoon"/>
    <s v="0-3 months"/>
    <x v="11"/>
    <n v="5.67"/>
    <n v="0.18"/>
    <n v="0.82"/>
    <n v="4.4000000000000004"/>
    <n v="0"/>
    <n v="23.5"/>
    <s v="Low"/>
    <m/>
    <m/>
    <m/>
    <m/>
    <m/>
    <m/>
    <m/>
    <m/>
    <m/>
    <m/>
    <m/>
    <m/>
    <m/>
  </r>
  <r>
    <x v="0"/>
    <s v="Agent_2"/>
    <s v="Tuesday"/>
    <s v="Evening"/>
    <s v="0-3 months"/>
    <x v="13"/>
    <n v="7.89"/>
    <n v="0.14000000000000001"/>
    <n v="0.84"/>
    <n v="4.75"/>
    <n v="0"/>
    <n v="26.84"/>
    <s v="Low"/>
    <m/>
    <m/>
    <m/>
    <m/>
    <m/>
    <m/>
    <m/>
    <m/>
    <m/>
    <m/>
    <m/>
    <m/>
    <m/>
  </r>
  <r>
    <x v="0"/>
    <s v="Agent_2"/>
    <s v="Wednesday"/>
    <s v="Morning"/>
    <s v="3-6 months"/>
    <x v="17"/>
    <n v="6.17"/>
    <n v="0.04"/>
    <n v="0.9"/>
    <n v="3.85"/>
    <n v="3"/>
    <n v="30.26"/>
    <s v="High"/>
    <m/>
    <m/>
    <m/>
    <m/>
    <m/>
    <m/>
    <m/>
    <m/>
    <m/>
    <m/>
    <m/>
    <m/>
    <m/>
  </r>
  <r>
    <x v="0"/>
    <s v="Agent_2"/>
    <s v="Wednesday"/>
    <s v="Afternoon"/>
    <s v="3-6 months"/>
    <x v="18"/>
    <n v="6.48"/>
    <n v="0.05"/>
    <n v="0.77"/>
    <n v="4.1399999999999997"/>
    <n v="3"/>
    <n v="30.72"/>
    <s v="High"/>
    <m/>
    <m/>
    <m/>
    <m/>
    <m/>
    <m/>
    <m/>
    <m/>
    <m/>
    <m/>
    <m/>
    <m/>
    <m/>
  </r>
  <r>
    <x v="0"/>
    <s v="Agent_2"/>
    <s v="Wednesday"/>
    <s v="Evening"/>
    <s v="0-3 months"/>
    <x v="19"/>
    <n v="5.74"/>
    <n v="7.0000000000000007E-2"/>
    <n v="0.69"/>
    <n v="3.81"/>
    <n v="2"/>
    <n v="27.61"/>
    <s v="Low"/>
    <m/>
    <m/>
    <m/>
    <m/>
    <m/>
    <m/>
    <m/>
    <m/>
    <m/>
    <m/>
    <m/>
    <m/>
    <m/>
  </r>
  <r>
    <x v="0"/>
    <s v="Agent_2"/>
    <s v="Thursday"/>
    <s v="Morning"/>
    <s v="3-6 months"/>
    <x v="20"/>
    <n v="6.59"/>
    <n v="0.03"/>
    <n v="0.88"/>
    <n v="3.92"/>
    <n v="0"/>
    <n v="24.88"/>
    <s v="Low"/>
    <m/>
    <m/>
    <m/>
    <m/>
    <m/>
    <m/>
    <m/>
    <m/>
    <m/>
    <m/>
    <m/>
    <m/>
    <m/>
  </r>
  <r>
    <x v="0"/>
    <s v="Agent_2"/>
    <s v="Thursday"/>
    <s v="Afternoon"/>
    <s v="0-3 months"/>
    <x v="21"/>
    <n v="8.19"/>
    <n v="0.13"/>
    <n v="0.78"/>
    <n v="4.42"/>
    <n v="2"/>
    <n v="31.28"/>
    <s v="High"/>
    <m/>
    <m/>
    <m/>
    <m/>
    <m/>
    <m/>
    <m/>
    <m/>
    <m/>
    <m/>
    <m/>
    <m/>
    <m/>
  </r>
  <r>
    <x v="0"/>
    <s v="Agent_2"/>
    <s v="Thursday"/>
    <s v="Evening"/>
    <s v="3-6 months"/>
    <x v="22"/>
    <n v="6.54"/>
    <n v="7.0000000000000007E-2"/>
    <n v="0.83"/>
    <n v="3.68"/>
    <n v="0"/>
    <n v="24.81"/>
    <s v="Low"/>
    <m/>
    <m/>
    <m/>
    <m/>
    <m/>
    <m/>
    <m/>
    <m/>
    <m/>
    <m/>
    <m/>
    <m/>
    <m/>
  </r>
  <r>
    <x v="0"/>
    <s v="Agent_2"/>
    <s v="Friday"/>
    <s v="Morning"/>
    <s v="0-3 months"/>
    <x v="18"/>
    <n v="5.09"/>
    <n v="0.19"/>
    <n v="0.85"/>
    <n v="3.8"/>
    <n v="0"/>
    <n v="22.64"/>
    <s v="Low"/>
    <m/>
    <m/>
    <m/>
    <m/>
    <m/>
    <m/>
    <m/>
    <m/>
    <m/>
    <m/>
    <m/>
    <m/>
    <m/>
  </r>
  <r>
    <x v="0"/>
    <s v="Agent_2"/>
    <s v="Friday"/>
    <s v="Afternoon"/>
    <s v="6+ months"/>
    <x v="17"/>
    <n v="5.68"/>
    <n v="0.14000000000000001"/>
    <n v="0.89"/>
    <n v="4.32"/>
    <n v="0"/>
    <n v="23.52"/>
    <s v="Low"/>
    <m/>
    <m/>
    <m/>
    <m/>
    <m/>
    <m/>
    <m/>
    <m/>
    <m/>
    <m/>
    <m/>
    <m/>
    <m/>
  </r>
  <r>
    <x v="0"/>
    <s v="Agent_2"/>
    <s v="Friday"/>
    <s v="Evening"/>
    <s v="3-6 months"/>
    <x v="7"/>
    <n v="5.79"/>
    <n v="0.13"/>
    <n v="0.81"/>
    <n v="4.03"/>
    <n v="2"/>
    <n v="27.68"/>
    <s v="Low"/>
    <m/>
    <m/>
    <m/>
    <m/>
    <m/>
    <m/>
    <m/>
    <m/>
    <m/>
    <m/>
    <m/>
    <m/>
    <m/>
  </r>
  <r>
    <x v="0"/>
    <s v="Agent_3"/>
    <s v="Monday"/>
    <s v="Morning"/>
    <s v="6+ months"/>
    <x v="17"/>
    <n v="6.29"/>
    <n v="0.02"/>
    <n v="0.77"/>
    <n v="4.21"/>
    <n v="1"/>
    <n v="26.44"/>
    <s v="Low"/>
    <m/>
    <m/>
    <m/>
    <m/>
    <m/>
    <m/>
    <m/>
    <m/>
    <m/>
    <m/>
    <m/>
    <m/>
    <m/>
  </r>
  <r>
    <x v="0"/>
    <s v="Agent_3"/>
    <s v="Monday"/>
    <s v="Afternoon"/>
    <s v="3-6 months"/>
    <x v="23"/>
    <n v="5.29"/>
    <n v="0.04"/>
    <n v="0.75"/>
    <n v="4.1399999999999997"/>
    <n v="0"/>
    <n v="22.94"/>
    <s v="Low"/>
    <m/>
    <m/>
    <m/>
    <m/>
    <m/>
    <m/>
    <m/>
    <m/>
    <m/>
    <m/>
    <m/>
    <m/>
    <m/>
  </r>
  <r>
    <x v="0"/>
    <s v="Agent_3"/>
    <s v="Monday"/>
    <s v="Evening"/>
    <s v="3-6 months"/>
    <x v="11"/>
    <n v="6.42"/>
    <n v="0.09"/>
    <n v="0.62"/>
    <n v="3.98"/>
    <n v="0"/>
    <n v="24.63"/>
    <s v="Low"/>
    <m/>
    <m/>
    <m/>
    <m/>
    <m/>
    <m/>
    <m/>
    <m/>
    <m/>
    <m/>
    <m/>
    <m/>
    <m/>
  </r>
  <r>
    <x v="0"/>
    <s v="Agent_3"/>
    <s v="Tuesday"/>
    <s v="Morning"/>
    <s v="0-3 months"/>
    <x v="24"/>
    <n v="6.94"/>
    <n v="0.28999999999999998"/>
    <n v="0.82"/>
    <n v="4.68"/>
    <n v="0"/>
    <n v="25.41"/>
    <s v="Low"/>
    <m/>
    <m/>
    <m/>
    <m/>
    <m/>
    <m/>
    <m/>
    <m/>
    <m/>
    <m/>
    <m/>
    <m/>
    <m/>
  </r>
  <r>
    <x v="0"/>
    <s v="Agent_3"/>
    <s v="Tuesday"/>
    <s v="Afternoon"/>
    <s v="3-6 months"/>
    <x v="25"/>
    <n v="5.74"/>
    <n v="0.05"/>
    <n v="0.86"/>
    <n v="3.87"/>
    <n v="0"/>
    <n v="23.61"/>
    <s v="Low"/>
    <m/>
    <m/>
    <m/>
    <m/>
    <m/>
    <m/>
    <m/>
    <m/>
    <m/>
    <m/>
    <m/>
    <m/>
    <m/>
  </r>
  <r>
    <x v="0"/>
    <s v="Agent_3"/>
    <s v="Tuesday"/>
    <s v="Evening"/>
    <s v="3-6 months"/>
    <x v="26"/>
    <n v="8.7200000000000006"/>
    <n v="0.15"/>
    <n v="0.72"/>
    <n v="3.86"/>
    <n v="2"/>
    <n v="32.08"/>
    <s v="High"/>
    <m/>
    <m/>
    <m/>
    <m/>
    <m/>
    <m/>
    <m/>
    <m/>
    <m/>
    <m/>
    <m/>
    <m/>
    <m/>
  </r>
  <r>
    <x v="0"/>
    <s v="Agent_3"/>
    <s v="Wednesday"/>
    <s v="Morning"/>
    <s v="6+ months"/>
    <x v="27"/>
    <n v="5.88"/>
    <n v="0.15"/>
    <n v="0.89"/>
    <n v="4.6100000000000003"/>
    <n v="0"/>
    <n v="23.82"/>
    <s v="Low"/>
    <m/>
    <m/>
    <m/>
    <m/>
    <m/>
    <m/>
    <m/>
    <m/>
    <m/>
    <m/>
    <m/>
    <m/>
    <m/>
  </r>
  <r>
    <x v="0"/>
    <s v="Agent_3"/>
    <s v="Wednesday"/>
    <s v="Afternoon"/>
    <s v="3-6 months"/>
    <x v="18"/>
    <n v="6.74"/>
    <n v="0.05"/>
    <n v="0.82"/>
    <n v="3.98"/>
    <n v="0"/>
    <n v="25.11"/>
    <s v="Low"/>
    <m/>
    <m/>
    <m/>
    <m/>
    <m/>
    <m/>
    <m/>
    <m/>
    <m/>
    <m/>
    <m/>
    <m/>
    <m/>
  </r>
  <r>
    <x v="0"/>
    <s v="Agent_3"/>
    <s v="Wednesday"/>
    <s v="Evening"/>
    <s v="6+ months"/>
    <x v="4"/>
    <n v="5.12"/>
    <n v="0.1"/>
    <n v="0.85"/>
    <n v="3.68"/>
    <n v="0"/>
    <n v="22.68"/>
    <s v="Low"/>
    <m/>
    <m/>
    <m/>
    <m/>
    <m/>
    <m/>
    <m/>
    <m/>
    <m/>
    <m/>
    <m/>
    <m/>
    <m/>
  </r>
  <r>
    <x v="0"/>
    <s v="Agent_3"/>
    <s v="Thursday"/>
    <s v="Morning"/>
    <s v="6+ months"/>
    <x v="26"/>
    <n v="6.15"/>
    <n v="0.13"/>
    <n v="0.77"/>
    <n v="4.42"/>
    <n v="0"/>
    <n v="24.22"/>
    <s v="Low"/>
    <m/>
    <m/>
    <m/>
    <m/>
    <m/>
    <m/>
    <m/>
    <m/>
    <m/>
    <m/>
    <m/>
    <m/>
    <m/>
  </r>
  <r>
    <x v="0"/>
    <s v="Agent_3"/>
    <s v="Thursday"/>
    <s v="Afternoon"/>
    <s v="0-3 months"/>
    <x v="5"/>
    <n v="6.3"/>
    <n v="0.28000000000000003"/>
    <n v="0.83"/>
    <n v="4.1500000000000004"/>
    <n v="1"/>
    <n v="26.45"/>
    <s v="Low"/>
    <m/>
    <m/>
    <m/>
    <m/>
    <m/>
    <m/>
    <m/>
    <m/>
    <m/>
    <m/>
    <m/>
    <m/>
    <m/>
  </r>
  <r>
    <x v="0"/>
    <s v="Agent_3"/>
    <s v="Thursday"/>
    <s v="Evening"/>
    <s v="3-6 months"/>
    <x v="28"/>
    <n v="6.26"/>
    <n v="0.12"/>
    <n v="0.82"/>
    <n v="3.94"/>
    <n v="0"/>
    <n v="24.39"/>
    <s v="Low"/>
    <m/>
    <m/>
    <m/>
    <m/>
    <m/>
    <m/>
    <m/>
    <m/>
    <m/>
    <m/>
    <m/>
    <m/>
    <m/>
  </r>
  <r>
    <x v="0"/>
    <s v="Agent_3"/>
    <s v="Friday"/>
    <s v="Morning"/>
    <s v="0-3 months"/>
    <x v="18"/>
    <n v="4.8"/>
    <n v="0.09"/>
    <n v="0.9"/>
    <n v="4.59"/>
    <n v="2"/>
    <n v="26.2"/>
    <s v="Low"/>
    <m/>
    <m/>
    <m/>
    <m/>
    <m/>
    <m/>
    <m/>
    <m/>
    <m/>
    <m/>
    <m/>
    <m/>
    <m/>
  </r>
  <r>
    <x v="0"/>
    <s v="Agent_3"/>
    <s v="Friday"/>
    <s v="Afternoon"/>
    <s v="0-3 months"/>
    <x v="29"/>
    <n v="7.2"/>
    <n v="0.26"/>
    <n v="0.8"/>
    <n v="3.67"/>
    <n v="0"/>
    <n v="25.8"/>
    <s v="Low"/>
    <m/>
    <m/>
    <m/>
    <m/>
    <m/>
    <m/>
    <m/>
    <m/>
    <m/>
    <m/>
    <m/>
    <m/>
    <m/>
  </r>
  <r>
    <x v="0"/>
    <s v="Agent_3"/>
    <s v="Friday"/>
    <s v="Evening"/>
    <s v="6+ months"/>
    <x v="30"/>
    <n v="5.95"/>
    <n v="0.13"/>
    <n v="0.65"/>
    <n v="4.03"/>
    <n v="1"/>
    <n v="25.92"/>
    <s v="Low"/>
    <m/>
    <m/>
    <m/>
    <m/>
    <m/>
    <m/>
    <m/>
    <m/>
    <m/>
    <m/>
    <m/>
    <m/>
    <m/>
  </r>
  <r>
    <x v="0"/>
    <s v="Agent_4"/>
    <s v="Monday"/>
    <s v="Morning"/>
    <s v="0-3 months"/>
    <x v="3"/>
    <n v="6.52"/>
    <n v="0.28999999999999998"/>
    <n v="0.83"/>
    <n v="3.92"/>
    <n v="1"/>
    <n v="26.78"/>
    <s v="Low"/>
    <m/>
    <m/>
    <m/>
    <m/>
    <m/>
    <m/>
    <m/>
    <m/>
    <m/>
    <m/>
    <m/>
    <m/>
    <m/>
  </r>
  <r>
    <x v="0"/>
    <s v="Agent_4"/>
    <s v="Monday"/>
    <s v="Afternoon"/>
    <s v="0-3 months"/>
    <x v="15"/>
    <n v="5.14"/>
    <n v="0.1"/>
    <n v="0.76"/>
    <n v="4.0599999999999996"/>
    <n v="1"/>
    <n v="24.71"/>
    <s v="Low"/>
    <m/>
    <m/>
    <m/>
    <m/>
    <m/>
    <m/>
    <m/>
    <m/>
    <m/>
    <m/>
    <m/>
    <m/>
    <m/>
  </r>
  <r>
    <x v="0"/>
    <s v="Agent_4"/>
    <s v="Monday"/>
    <s v="Evening"/>
    <s v="0-3 months"/>
    <x v="9"/>
    <n v="6.84"/>
    <n v="0.16"/>
    <n v="0.66"/>
    <n v="3.62"/>
    <n v="0"/>
    <n v="25.26"/>
    <s v="Low"/>
    <m/>
    <m/>
    <m/>
    <m/>
    <m/>
    <m/>
    <m/>
    <m/>
    <m/>
    <m/>
    <m/>
    <m/>
    <m/>
  </r>
  <r>
    <x v="0"/>
    <s v="Agent_4"/>
    <s v="Tuesday"/>
    <s v="Morning"/>
    <s v="6+ months"/>
    <x v="9"/>
    <n v="8.1199999999999992"/>
    <n v="7.0000000000000007E-2"/>
    <n v="0.79"/>
    <n v="3.96"/>
    <n v="1"/>
    <n v="29.18"/>
    <s v="High"/>
    <m/>
    <m/>
    <m/>
    <m/>
    <m/>
    <m/>
    <m/>
    <m/>
    <m/>
    <m/>
    <m/>
    <m/>
    <m/>
  </r>
  <r>
    <x v="0"/>
    <s v="Agent_4"/>
    <s v="Tuesday"/>
    <s v="Afternoon"/>
    <s v="0-3 months"/>
    <x v="12"/>
    <n v="7.03"/>
    <n v="7.0000000000000007E-2"/>
    <n v="0.76"/>
    <n v="3.9"/>
    <n v="3"/>
    <n v="31.54"/>
    <s v="High"/>
    <m/>
    <m/>
    <m/>
    <m/>
    <m/>
    <m/>
    <m/>
    <m/>
    <m/>
    <m/>
    <m/>
    <m/>
    <m/>
  </r>
  <r>
    <x v="0"/>
    <s v="Agent_4"/>
    <s v="Tuesday"/>
    <s v="Evening"/>
    <s v="0-3 months"/>
    <x v="3"/>
    <n v="5.98"/>
    <n v="0.17"/>
    <n v="0.64"/>
    <n v="4.0599999999999996"/>
    <n v="0"/>
    <n v="23.97"/>
    <s v="Low"/>
    <m/>
    <m/>
    <m/>
    <m/>
    <m/>
    <m/>
    <m/>
    <m/>
    <m/>
    <m/>
    <m/>
    <m/>
    <m/>
  </r>
  <r>
    <x v="0"/>
    <s v="Agent_4"/>
    <s v="Wednesday"/>
    <s v="Morning"/>
    <s v="3-6 months"/>
    <x v="31"/>
    <n v="5.07"/>
    <n v="0.14000000000000001"/>
    <n v="0.79"/>
    <n v="3.52"/>
    <n v="2"/>
    <n v="26.6"/>
    <s v="Low"/>
    <m/>
    <m/>
    <m/>
    <m/>
    <m/>
    <m/>
    <m/>
    <m/>
    <m/>
    <m/>
    <m/>
    <m/>
    <m/>
  </r>
  <r>
    <x v="0"/>
    <s v="Agent_4"/>
    <s v="Wednesday"/>
    <s v="Afternoon"/>
    <s v="3-6 months"/>
    <x v="31"/>
    <n v="6.97"/>
    <n v="0.14000000000000001"/>
    <n v="0.89"/>
    <n v="4.63"/>
    <n v="1"/>
    <n v="27.46"/>
    <s v="Low"/>
    <m/>
    <m/>
    <m/>
    <m/>
    <m/>
    <m/>
    <m/>
    <m/>
    <m/>
    <m/>
    <m/>
    <m/>
    <m/>
  </r>
  <r>
    <x v="0"/>
    <s v="Agent_4"/>
    <s v="Wednesday"/>
    <s v="Evening"/>
    <s v="6+ months"/>
    <x v="32"/>
    <n v="7.54"/>
    <n v="7.0000000000000007E-2"/>
    <n v="0.76"/>
    <n v="4.0999999999999996"/>
    <n v="0"/>
    <n v="26.31"/>
    <s v="Low"/>
    <m/>
    <m/>
    <m/>
    <m/>
    <m/>
    <m/>
    <m/>
    <m/>
    <m/>
    <m/>
    <m/>
    <m/>
    <m/>
  </r>
  <r>
    <x v="0"/>
    <s v="Agent_4"/>
    <s v="Thursday"/>
    <s v="Morning"/>
    <s v="6+ months"/>
    <x v="4"/>
    <n v="6.5"/>
    <n v="0.05"/>
    <n v="0.79"/>
    <n v="3.78"/>
    <n v="0"/>
    <n v="24.75"/>
    <s v="Low"/>
    <m/>
    <m/>
    <m/>
    <m/>
    <m/>
    <m/>
    <m/>
    <m/>
    <m/>
    <m/>
    <m/>
    <m/>
    <m/>
  </r>
  <r>
    <x v="0"/>
    <s v="Agent_4"/>
    <s v="Thursday"/>
    <s v="Afternoon"/>
    <s v="0-3 months"/>
    <x v="33"/>
    <n v="7.06"/>
    <n v="0.22"/>
    <n v="0.76"/>
    <n v="3.91"/>
    <n v="2"/>
    <n v="29.59"/>
    <s v="High"/>
    <m/>
    <m/>
    <m/>
    <m/>
    <m/>
    <m/>
    <m/>
    <m/>
    <m/>
    <m/>
    <m/>
    <m/>
    <m/>
  </r>
  <r>
    <x v="0"/>
    <s v="Agent_4"/>
    <s v="Thursday"/>
    <s v="Evening"/>
    <s v="0-3 months"/>
    <x v="20"/>
    <n v="5.97"/>
    <n v="0.22"/>
    <n v="0.69"/>
    <n v="4.72"/>
    <n v="0"/>
    <n v="23.96"/>
    <s v="Low"/>
    <m/>
    <m/>
    <m/>
    <m/>
    <m/>
    <m/>
    <m/>
    <m/>
    <m/>
    <m/>
    <m/>
    <m/>
    <m/>
  </r>
  <r>
    <x v="0"/>
    <s v="Agent_4"/>
    <s v="Friday"/>
    <s v="Morning"/>
    <s v="3-6 months"/>
    <x v="34"/>
    <n v="4.28"/>
    <n v="0.04"/>
    <n v="0.86"/>
    <n v="4.55"/>
    <n v="3"/>
    <n v="27.42"/>
    <s v="Low"/>
    <m/>
    <m/>
    <m/>
    <m/>
    <m/>
    <m/>
    <m/>
    <m/>
    <m/>
    <m/>
    <m/>
    <m/>
    <m/>
  </r>
  <r>
    <x v="0"/>
    <s v="Agent_4"/>
    <s v="Friday"/>
    <s v="Afternoon"/>
    <s v="3-6 months"/>
    <x v="35"/>
    <n v="6.49"/>
    <n v="0.13"/>
    <n v="0.83"/>
    <n v="3.81"/>
    <n v="1"/>
    <n v="26.74"/>
    <s v="Low"/>
    <m/>
    <m/>
    <m/>
    <m/>
    <m/>
    <m/>
    <m/>
    <m/>
    <m/>
    <m/>
    <m/>
    <m/>
    <m/>
  </r>
  <r>
    <x v="0"/>
    <s v="Agent_4"/>
    <s v="Friday"/>
    <s v="Evening"/>
    <s v="6+ months"/>
    <x v="10"/>
    <n v="4.47"/>
    <n v="0.03"/>
    <n v="0.83"/>
    <n v="4.16"/>
    <n v="2"/>
    <n v="25.7"/>
    <s v="Low"/>
    <m/>
    <m/>
    <m/>
    <m/>
    <m/>
    <m/>
    <m/>
    <m/>
    <m/>
    <m/>
    <m/>
    <m/>
    <m/>
  </r>
  <r>
    <x v="0"/>
    <s v="Agent_5"/>
    <s v="Monday"/>
    <s v="Morning"/>
    <s v="3-6 months"/>
    <x v="36"/>
    <n v="6.32"/>
    <n v="0.14000000000000001"/>
    <n v="0.84"/>
    <n v="4.32"/>
    <n v="0"/>
    <n v="24.48"/>
    <s v="Low"/>
    <m/>
    <m/>
    <m/>
    <m/>
    <m/>
    <m/>
    <m/>
    <m/>
    <m/>
    <m/>
    <m/>
    <m/>
    <m/>
  </r>
  <r>
    <x v="0"/>
    <s v="Agent_5"/>
    <s v="Monday"/>
    <s v="Afternoon"/>
    <s v="0-3 months"/>
    <x v="16"/>
    <n v="5.87"/>
    <n v="0.19"/>
    <n v="0.78"/>
    <n v="4.7300000000000004"/>
    <n v="1"/>
    <n v="25.8"/>
    <s v="Low"/>
    <m/>
    <m/>
    <m/>
    <m/>
    <m/>
    <m/>
    <m/>
    <m/>
    <m/>
    <m/>
    <m/>
    <m/>
    <m/>
  </r>
  <r>
    <x v="0"/>
    <s v="Agent_5"/>
    <s v="Monday"/>
    <s v="Evening"/>
    <s v="0-3 months"/>
    <x v="29"/>
    <n v="7.81"/>
    <n v="0.28999999999999998"/>
    <n v="0.77"/>
    <n v="4.59"/>
    <n v="2"/>
    <n v="30.72"/>
    <s v="High"/>
    <m/>
    <m/>
    <m/>
    <m/>
    <m/>
    <m/>
    <m/>
    <m/>
    <m/>
    <m/>
    <m/>
    <m/>
    <m/>
  </r>
  <r>
    <x v="0"/>
    <s v="Agent_5"/>
    <s v="Tuesday"/>
    <s v="Morning"/>
    <s v="6+ months"/>
    <x v="28"/>
    <n v="6.4"/>
    <n v="0.11"/>
    <n v="0.76"/>
    <n v="4.57"/>
    <n v="1"/>
    <n v="26.6"/>
    <s v="Low"/>
    <m/>
    <m/>
    <m/>
    <m/>
    <m/>
    <m/>
    <m/>
    <m/>
    <m/>
    <m/>
    <m/>
    <m/>
    <m/>
  </r>
  <r>
    <x v="0"/>
    <s v="Agent_5"/>
    <s v="Tuesday"/>
    <s v="Afternoon"/>
    <s v="0-3 months"/>
    <x v="27"/>
    <n v="6.45"/>
    <n v="0.27"/>
    <n v="0.88"/>
    <n v="3.81"/>
    <n v="2"/>
    <n v="28.68"/>
    <s v="High"/>
    <m/>
    <m/>
    <m/>
    <m/>
    <m/>
    <m/>
    <m/>
    <m/>
    <m/>
    <m/>
    <m/>
    <m/>
    <m/>
  </r>
  <r>
    <x v="0"/>
    <s v="Agent_5"/>
    <s v="Tuesday"/>
    <s v="Evening"/>
    <s v="3-6 months"/>
    <x v="34"/>
    <n v="4.54"/>
    <n v="7.0000000000000007E-2"/>
    <n v="0.62"/>
    <n v="4.51"/>
    <n v="0"/>
    <n v="21.81"/>
    <s v="Low"/>
    <m/>
    <m/>
    <m/>
    <m/>
    <m/>
    <m/>
    <m/>
    <m/>
    <m/>
    <m/>
    <m/>
    <m/>
    <m/>
  </r>
  <r>
    <x v="0"/>
    <s v="Agent_5"/>
    <s v="Wednesday"/>
    <s v="Morning"/>
    <s v="3-6 months"/>
    <x v="5"/>
    <n v="5.28"/>
    <n v="0.05"/>
    <n v="0.81"/>
    <n v="4.24"/>
    <n v="1"/>
    <n v="24.92"/>
    <s v="Low"/>
    <m/>
    <m/>
    <m/>
    <m/>
    <m/>
    <m/>
    <m/>
    <m/>
    <m/>
    <m/>
    <m/>
    <m/>
    <m/>
  </r>
  <r>
    <x v="0"/>
    <s v="Agent_5"/>
    <s v="Wednesday"/>
    <s v="Afternoon"/>
    <s v="6+ months"/>
    <x v="23"/>
    <n v="4.12"/>
    <n v="0.12"/>
    <n v="0.85"/>
    <n v="3.81"/>
    <n v="0"/>
    <n v="21.18"/>
    <s v="Low"/>
    <m/>
    <m/>
    <m/>
    <m/>
    <m/>
    <m/>
    <m/>
    <m/>
    <m/>
    <m/>
    <m/>
    <m/>
    <m/>
  </r>
  <r>
    <x v="0"/>
    <s v="Agent_5"/>
    <s v="Wednesday"/>
    <s v="Evening"/>
    <s v="3-6 months"/>
    <x v="16"/>
    <n v="5.66"/>
    <n v="0.15"/>
    <n v="0.6"/>
    <n v="4.76"/>
    <n v="0"/>
    <n v="23.49"/>
    <s v="Low"/>
    <m/>
    <m/>
    <m/>
    <m/>
    <m/>
    <m/>
    <m/>
    <m/>
    <m/>
    <m/>
    <m/>
    <m/>
    <m/>
  </r>
  <r>
    <x v="0"/>
    <s v="Agent_5"/>
    <s v="Thursday"/>
    <s v="Morning"/>
    <s v="6+ months"/>
    <x v="2"/>
    <n v="6.46"/>
    <n v="0.15"/>
    <n v="0.76"/>
    <n v="4.22"/>
    <n v="3"/>
    <n v="30.69"/>
    <s v="High"/>
    <m/>
    <m/>
    <m/>
    <m/>
    <m/>
    <m/>
    <m/>
    <m/>
    <m/>
    <m/>
    <m/>
    <m/>
    <m/>
  </r>
  <r>
    <x v="0"/>
    <s v="Agent_5"/>
    <s v="Thursday"/>
    <s v="Afternoon"/>
    <s v="3-6 months"/>
    <x v="23"/>
    <n v="5.3"/>
    <n v="0.15"/>
    <n v="0.85"/>
    <n v="4"/>
    <n v="1"/>
    <n v="24.95"/>
    <s v="Low"/>
    <m/>
    <m/>
    <m/>
    <m/>
    <m/>
    <m/>
    <m/>
    <m/>
    <m/>
    <m/>
    <m/>
    <m/>
    <m/>
  </r>
  <r>
    <x v="0"/>
    <s v="Agent_5"/>
    <s v="Thursday"/>
    <s v="Evening"/>
    <s v="6+ months"/>
    <x v="37"/>
    <n v="5.03"/>
    <n v="0.14000000000000001"/>
    <n v="0.82"/>
    <n v="4.09"/>
    <n v="1"/>
    <n v="24.54"/>
    <s v="Low"/>
    <m/>
    <m/>
    <m/>
    <m/>
    <m/>
    <m/>
    <m/>
    <m/>
    <m/>
    <m/>
    <m/>
    <m/>
    <m/>
  </r>
  <r>
    <x v="0"/>
    <s v="Agent_5"/>
    <s v="Friday"/>
    <s v="Morning"/>
    <s v="0-3 months"/>
    <x v="15"/>
    <n v="4.79"/>
    <n v="0.11"/>
    <n v="0.79"/>
    <n v="3.97"/>
    <n v="0"/>
    <n v="22.18"/>
    <s v="Low"/>
    <m/>
    <m/>
    <m/>
    <m/>
    <m/>
    <m/>
    <m/>
    <m/>
    <m/>
    <m/>
    <m/>
    <m/>
    <m/>
  </r>
  <r>
    <x v="0"/>
    <s v="Agent_5"/>
    <s v="Friday"/>
    <s v="Afternoon"/>
    <s v="3-6 months"/>
    <x v="26"/>
    <n v="7.59"/>
    <n v="0.06"/>
    <n v="0.81"/>
    <n v="4.28"/>
    <n v="0"/>
    <n v="26.38"/>
    <s v="Low"/>
    <m/>
    <m/>
    <m/>
    <m/>
    <m/>
    <m/>
    <m/>
    <m/>
    <m/>
    <m/>
    <m/>
    <m/>
    <m/>
  </r>
  <r>
    <x v="0"/>
    <s v="Agent_5"/>
    <s v="Friday"/>
    <s v="Evening"/>
    <s v="0-3 months"/>
    <x v="10"/>
    <n v="6.74"/>
    <n v="0.15"/>
    <n v="0.83"/>
    <n v="4.63"/>
    <n v="0"/>
    <n v="25.11"/>
    <s v="Low"/>
    <m/>
    <m/>
    <m/>
    <m/>
    <m/>
    <m/>
    <m/>
    <m/>
    <m/>
    <m/>
    <m/>
    <m/>
    <m/>
  </r>
  <r>
    <x v="0"/>
    <s v="Agent_6"/>
    <s v="Monday"/>
    <s v="Morning"/>
    <s v="0-3 months"/>
    <x v="25"/>
    <n v="7.48"/>
    <n v="0.24"/>
    <n v="0.82"/>
    <n v="4.78"/>
    <n v="0"/>
    <n v="26.22"/>
    <s v="Low"/>
    <m/>
    <m/>
    <m/>
    <m/>
    <m/>
    <m/>
    <m/>
    <m/>
    <m/>
    <m/>
    <m/>
    <m/>
    <m/>
  </r>
  <r>
    <x v="0"/>
    <s v="Agent_6"/>
    <s v="Monday"/>
    <s v="Afternoon"/>
    <s v="6+ months"/>
    <x v="16"/>
    <n v="5.89"/>
    <n v="7.0000000000000007E-2"/>
    <n v="0.79"/>
    <n v="3.57"/>
    <n v="2"/>
    <n v="27.84"/>
    <s v="High"/>
    <m/>
    <m/>
    <m/>
    <m/>
    <m/>
    <m/>
    <m/>
    <m/>
    <m/>
    <m/>
    <m/>
    <m/>
    <m/>
  </r>
  <r>
    <x v="0"/>
    <s v="Agent_6"/>
    <s v="Monday"/>
    <s v="Evening"/>
    <s v="6+ months"/>
    <x v="38"/>
    <n v="7.24"/>
    <n v="0.12"/>
    <n v="0.83"/>
    <n v="4.26"/>
    <n v="1"/>
    <n v="27.86"/>
    <s v="High"/>
    <m/>
    <m/>
    <m/>
    <m/>
    <m/>
    <m/>
    <m/>
    <m/>
    <m/>
    <m/>
    <m/>
    <m/>
    <m/>
  </r>
  <r>
    <x v="0"/>
    <s v="Agent_6"/>
    <s v="Tuesday"/>
    <s v="Morning"/>
    <s v="6+ months"/>
    <x v="36"/>
    <n v="5.69"/>
    <n v="0.04"/>
    <n v="0.89"/>
    <n v="4.29"/>
    <n v="0"/>
    <n v="23.54"/>
    <s v="Low"/>
    <m/>
    <m/>
    <m/>
    <m/>
    <m/>
    <m/>
    <m/>
    <m/>
    <m/>
    <m/>
    <m/>
    <m/>
    <m/>
  </r>
  <r>
    <x v="0"/>
    <s v="Agent_6"/>
    <s v="Tuesday"/>
    <s v="Afternoon"/>
    <s v="3-6 months"/>
    <x v="13"/>
    <n v="4.4000000000000004"/>
    <n v="0.03"/>
    <n v="0.79"/>
    <n v="3.53"/>
    <n v="0"/>
    <n v="21.6"/>
    <s v="Low"/>
    <m/>
    <m/>
    <m/>
    <m/>
    <m/>
    <m/>
    <m/>
    <m/>
    <m/>
    <m/>
    <m/>
    <m/>
    <m/>
  </r>
  <r>
    <x v="0"/>
    <s v="Agent_6"/>
    <s v="Tuesday"/>
    <s v="Evening"/>
    <s v="3-6 months"/>
    <x v="4"/>
    <n v="7.18"/>
    <n v="0.09"/>
    <n v="0.74"/>
    <n v="4.6399999999999997"/>
    <n v="0"/>
    <n v="25.77"/>
    <s v="Low"/>
    <m/>
    <m/>
    <m/>
    <m/>
    <m/>
    <m/>
    <m/>
    <m/>
    <m/>
    <m/>
    <m/>
    <m/>
    <m/>
  </r>
  <r>
    <x v="0"/>
    <s v="Agent_6"/>
    <s v="Wednesday"/>
    <s v="Morning"/>
    <s v="0-3 months"/>
    <x v="6"/>
    <n v="6.07"/>
    <n v="0.16"/>
    <n v="0.87"/>
    <n v="4.33"/>
    <n v="2"/>
    <n v="28.1"/>
    <s v="High"/>
    <m/>
    <m/>
    <m/>
    <m/>
    <m/>
    <m/>
    <m/>
    <m/>
    <m/>
    <m/>
    <m/>
    <m/>
    <m/>
  </r>
  <r>
    <x v="0"/>
    <s v="Agent_6"/>
    <s v="Wednesday"/>
    <s v="Afternoon"/>
    <s v="6+ months"/>
    <x v="20"/>
    <n v="7.06"/>
    <n v="7.0000000000000007E-2"/>
    <n v="0.82"/>
    <n v="4.68"/>
    <n v="0"/>
    <n v="25.59"/>
    <s v="Low"/>
    <m/>
    <m/>
    <m/>
    <m/>
    <m/>
    <m/>
    <m/>
    <m/>
    <m/>
    <m/>
    <m/>
    <m/>
    <m/>
  </r>
  <r>
    <x v="0"/>
    <s v="Agent_6"/>
    <s v="Wednesday"/>
    <s v="Evening"/>
    <s v="3-6 months"/>
    <x v="8"/>
    <n v="4.24"/>
    <n v="0.14000000000000001"/>
    <n v="0.67"/>
    <n v="4.18"/>
    <n v="1"/>
    <n v="23.36"/>
    <s v="Low"/>
    <m/>
    <m/>
    <m/>
    <m/>
    <m/>
    <m/>
    <m/>
    <m/>
    <m/>
    <m/>
    <m/>
    <m/>
    <m/>
  </r>
  <r>
    <x v="0"/>
    <s v="Agent_6"/>
    <s v="Thursday"/>
    <s v="Morning"/>
    <s v="6+ months"/>
    <x v="37"/>
    <n v="5.99"/>
    <n v="0.05"/>
    <n v="0.82"/>
    <n v="4.7699999999999996"/>
    <n v="0"/>
    <n v="23.98"/>
    <s v="Low"/>
    <m/>
    <m/>
    <m/>
    <m/>
    <m/>
    <m/>
    <m/>
    <m/>
    <m/>
    <m/>
    <m/>
    <m/>
    <m/>
  </r>
  <r>
    <x v="0"/>
    <s v="Agent_6"/>
    <s v="Thursday"/>
    <s v="Afternoon"/>
    <s v="3-6 months"/>
    <x v="39"/>
    <n v="6.8"/>
    <n v="0.1"/>
    <n v="0.8"/>
    <n v="4.2"/>
    <n v="0"/>
    <n v="25.2"/>
    <s v="Low"/>
    <m/>
    <m/>
    <m/>
    <m/>
    <m/>
    <m/>
    <m/>
    <m/>
    <m/>
    <m/>
    <m/>
    <m/>
    <m/>
  </r>
  <r>
    <x v="0"/>
    <s v="Agent_6"/>
    <s v="Thursday"/>
    <s v="Evening"/>
    <s v="3-6 months"/>
    <x v="40"/>
    <n v="6.37"/>
    <n v="0.04"/>
    <n v="0.69"/>
    <n v="4.67"/>
    <n v="0"/>
    <n v="24.56"/>
    <s v="Low"/>
    <m/>
    <m/>
    <m/>
    <m/>
    <m/>
    <m/>
    <m/>
    <m/>
    <m/>
    <m/>
    <m/>
    <m/>
    <m/>
  </r>
  <r>
    <x v="0"/>
    <s v="Agent_6"/>
    <s v="Friday"/>
    <s v="Morning"/>
    <s v="3-6 months"/>
    <x v="33"/>
    <n v="5.0599999999999996"/>
    <n v="0.1"/>
    <n v="0.78"/>
    <n v="4.57"/>
    <n v="0"/>
    <n v="22.59"/>
    <s v="Low"/>
    <m/>
    <m/>
    <m/>
    <m/>
    <m/>
    <m/>
    <m/>
    <m/>
    <m/>
    <m/>
    <m/>
    <m/>
    <m/>
  </r>
  <r>
    <x v="0"/>
    <s v="Agent_6"/>
    <s v="Friday"/>
    <s v="Afternoon"/>
    <s v="3-6 months"/>
    <x v="41"/>
    <n v="4.57"/>
    <n v="7.0000000000000007E-2"/>
    <n v="0.83"/>
    <n v="4.4000000000000004"/>
    <n v="0"/>
    <n v="21.86"/>
    <s v="Low"/>
    <m/>
    <m/>
    <m/>
    <m/>
    <m/>
    <m/>
    <m/>
    <m/>
    <m/>
    <m/>
    <m/>
    <m/>
    <m/>
  </r>
  <r>
    <x v="0"/>
    <s v="Agent_6"/>
    <s v="Friday"/>
    <s v="Evening"/>
    <s v="6+ months"/>
    <x v="41"/>
    <n v="5.81"/>
    <n v="0.03"/>
    <n v="0.82"/>
    <n v="4.7"/>
    <n v="0"/>
    <n v="23.72"/>
    <s v="Low"/>
    <m/>
    <m/>
    <m/>
    <m/>
    <m/>
    <m/>
    <m/>
    <m/>
    <m/>
    <m/>
    <m/>
    <m/>
    <m/>
  </r>
  <r>
    <x v="0"/>
    <s v="Agent_7"/>
    <s v="Monday"/>
    <s v="Morning"/>
    <s v="0-3 months"/>
    <x v="9"/>
    <n v="6.18"/>
    <n v="0.3"/>
    <n v="0.83"/>
    <n v="4.7"/>
    <n v="0"/>
    <n v="24.27"/>
    <s v="Low"/>
    <m/>
    <m/>
    <m/>
    <m/>
    <m/>
    <m/>
    <m/>
    <m/>
    <m/>
    <m/>
    <m/>
    <m/>
    <m/>
  </r>
  <r>
    <x v="0"/>
    <s v="Agent_7"/>
    <s v="Monday"/>
    <s v="Afternoon"/>
    <s v="6+ months"/>
    <x v="12"/>
    <n v="5.22"/>
    <n v="0.08"/>
    <n v="0.86"/>
    <n v="3.55"/>
    <n v="0"/>
    <n v="22.83"/>
    <s v="Low"/>
    <m/>
    <m/>
    <m/>
    <m/>
    <m/>
    <m/>
    <m/>
    <m/>
    <m/>
    <m/>
    <m/>
    <m/>
    <m/>
  </r>
  <r>
    <x v="0"/>
    <s v="Agent_7"/>
    <s v="Monday"/>
    <s v="Evening"/>
    <s v="6+ months"/>
    <x v="6"/>
    <n v="6.47"/>
    <n v="0.02"/>
    <n v="0.82"/>
    <n v="3.96"/>
    <n v="0"/>
    <n v="24.7"/>
    <s v="Low"/>
    <m/>
    <m/>
    <m/>
    <m/>
    <m/>
    <m/>
    <m/>
    <m/>
    <m/>
    <m/>
    <m/>
    <m/>
    <m/>
  </r>
  <r>
    <x v="0"/>
    <s v="Agent_7"/>
    <s v="Tuesday"/>
    <s v="Morning"/>
    <s v="0-3 months"/>
    <x v="27"/>
    <n v="6.65"/>
    <n v="0.1"/>
    <n v="0.83"/>
    <n v="4.59"/>
    <n v="0"/>
    <n v="24.98"/>
    <s v="Low"/>
    <m/>
    <m/>
    <m/>
    <m/>
    <m/>
    <m/>
    <m/>
    <m/>
    <m/>
    <m/>
    <m/>
    <m/>
    <m/>
  </r>
  <r>
    <x v="0"/>
    <s v="Agent_7"/>
    <s v="Tuesday"/>
    <s v="Afternoon"/>
    <s v="3-6 months"/>
    <x v="16"/>
    <n v="6.22"/>
    <n v="0.11"/>
    <n v="0.87"/>
    <n v="4.1500000000000004"/>
    <n v="0"/>
    <n v="24.33"/>
    <s v="Low"/>
    <m/>
    <m/>
    <m/>
    <m/>
    <m/>
    <m/>
    <m/>
    <m/>
    <m/>
    <m/>
    <m/>
    <m/>
    <m/>
  </r>
  <r>
    <x v="0"/>
    <s v="Agent_7"/>
    <s v="Tuesday"/>
    <s v="Evening"/>
    <s v="3-6 months"/>
    <x v="20"/>
    <n v="6.91"/>
    <n v="0.09"/>
    <n v="0.75"/>
    <n v="4.2300000000000004"/>
    <n v="0"/>
    <n v="25.36"/>
    <s v="Low"/>
    <m/>
    <m/>
    <m/>
    <m/>
    <m/>
    <m/>
    <m/>
    <m/>
    <m/>
    <m/>
    <m/>
    <m/>
    <m/>
  </r>
  <r>
    <x v="0"/>
    <s v="Agent_7"/>
    <s v="Wednesday"/>
    <s v="Morning"/>
    <s v="3-6 months"/>
    <x v="5"/>
    <n v="4.58"/>
    <n v="0.08"/>
    <n v="0.8"/>
    <n v="4.71"/>
    <n v="0"/>
    <n v="21.87"/>
    <s v="Low"/>
    <m/>
    <m/>
    <m/>
    <m/>
    <m/>
    <m/>
    <m/>
    <m/>
    <m/>
    <m/>
    <m/>
    <m/>
    <m/>
  </r>
  <r>
    <x v="0"/>
    <s v="Agent_7"/>
    <s v="Wednesday"/>
    <s v="Afternoon"/>
    <s v="0-3 months"/>
    <x v="42"/>
    <n v="6.6"/>
    <n v="0.11"/>
    <n v="0.77"/>
    <n v="3.74"/>
    <n v="0"/>
    <n v="24.9"/>
    <s v="Low"/>
    <m/>
    <m/>
    <m/>
    <m/>
    <m/>
    <m/>
    <m/>
    <m/>
    <m/>
    <m/>
    <m/>
    <m/>
    <m/>
  </r>
  <r>
    <x v="0"/>
    <s v="Agent_7"/>
    <s v="Wednesday"/>
    <s v="Evening"/>
    <s v="0-3 months"/>
    <x v="43"/>
    <n v="6.05"/>
    <n v="0.15"/>
    <n v="0.85"/>
    <n v="3.65"/>
    <n v="0"/>
    <n v="24.08"/>
    <s v="Low"/>
    <m/>
    <m/>
    <m/>
    <m/>
    <m/>
    <m/>
    <m/>
    <m/>
    <m/>
    <m/>
    <m/>
    <m/>
    <m/>
  </r>
  <r>
    <x v="0"/>
    <s v="Agent_7"/>
    <s v="Thursday"/>
    <s v="Morning"/>
    <s v="6+ months"/>
    <x v="19"/>
    <n v="5.17"/>
    <n v="0.02"/>
    <n v="0.9"/>
    <n v="4.1399999999999997"/>
    <n v="1"/>
    <n v="24.76"/>
    <s v="Low"/>
    <m/>
    <m/>
    <m/>
    <m/>
    <m/>
    <m/>
    <m/>
    <m/>
    <m/>
    <m/>
    <m/>
    <m/>
    <m/>
  </r>
  <r>
    <x v="0"/>
    <s v="Agent_7"/>
    <s v="Thursday"/>
    <s v="Afternoon"/>
    <s v="6+ months"/>
    <x v="44"/>
    <n v="8.0399999999999991"/>
    <n v="0.06"/>
    <n v="0.87"/>
    <n v="3.74"/>
    <n v="0"/>
    <n v="27.06"/>
    <s v="Low"/>
    <m/>
    <m/>
    <m/>
    <m/>
    <m/>
    <m/>
    <m/>
    <m/>
    <m/>
    <m/>
    <m/>
    <m/>
    <m/>
  </r>
  <r>
    <x v="0"/>
    <s v="Agent_7"/>
    <s v="Thursday"/>
    <s v="Evening"/>
    <s v="3-6 months"/>
    <x v="25"/>
    <n v="7.62"/>
    <n v="0.12"/>
    <n v="0.73"/>
    <n v="4.42"/>
    <n v="1"/>
    <n v="28.43"/>
    <s v="High"/>
    <m/>
    <m/>
    <m/>
    <m/>
    <m/>
    <m/>
    <m/>
    <m/>
    <m/>
    <m/>
    <m/>
    <m/>
    <m/>
  </r>
  <r>
    <x v="0"/>
    <s v="Agent_7"/>
    <s v="Friday"/>
    <s v="Morning"/>
    <s v="0-3 months"/>
    <x v="40"/>
    <n v="5.8"/>
    <n v="0.2"/>
    <n v="0.81"/>
    <n v="4.09"/>
    <n v="0"/>
    <n v="23.7"/>
    <s v="Low"/>
    <m/>
    <m/>
    <m/>
    <m/>
    <m/>
    <m/>
    <m/>
    <m/>
    <m/>
    <m/>
    <m/>
    <m/>
    <m/>
  </r>
  <r>
    <x v="0"/>
    <s v="Agent_7"/>
    <s v="Friday"/>
    <s v="Afternoon"/>
    <s v="3-6 months"/>
    <x v="44"/>
    <n v="6.48"/>
    <n v="0.06"/>
    <n v="0.87"/>
    <n v="3.83"/>
    <n v="1"/>
    <n v="26.72"/>
    <s v="Low"/>
    <m/>
    <m/>
    <m/>
    <m/>
    <m/>
    <m/>
    <m/>
    <m/>
    <m/>
    <m/>
    <m/>
    <m/>
    <m/>
  </r>
  <r>
    <x v="0"/>
    <s v="Agent_7"/>
    <s v="Friday"/>
    <s v="Evening"/>
    <s v="6+ months"/>
    <x v="40"/>
    <n v="8.39"/>
    <n v="0.12"/>
    <n v="0.63"/>
    <n v="4.6100000000000003"/>
    <n v="1"/>
    <n v="29.58"/>
    <s v="High"/>
    <m/>
    <m/>
    <m/>
    <m/>
    <m/>
    <m/>
    <m/>
    <m/>
    <m/>
    <m/>
    <m/>
    <m/>
    <m/>
  </r>
  <r>
    <x v="0"/>
    <s v="Agent_8"/>
    <s v="Monday"/>
    <s v="Morning"/>
    <s v="3-6 months"/>
    <x v="40"/>
    <n v="5.4"/>
    <n v="0.14000000000000001"/>
    <n v="0.78"/>
    <n v="3.59"/>
    <n v="1"/>
    <n v="25.1"/>
    <s v="Low"/>
    <m/>
    <m/>
    <m/>
    <m/>
    <m/>
    <m/>
    <m/>
    <m/>
    <m/>
    <m/>
    <m/>
    <m/>
    <m/>
  </r>
  <r>
    <x v="0"/>
    <s v="Agent_8"/>
    <s v="Monday"/>
    <s v="Afternoon"/>
    <s v="3-6 months"/>
    <x v="0"/>
    <n v="6.34"/>
    <n v="0.05"/>
    <n v="0.77"/>
    <n v="3.71"/>
    <n v="2"/>
    <n v="28.51"/>
    <s v="High"/>
    <m/>
    <m/>
    <m/>
    <m/>
    <m/>
    <m/>
    <m/>
    <m/>
    <m/>
    <m/>
    <m/>
    <m/>
    <m/>
  </r>
  <r>
    <x v="0"/>
    <s v="Agent_8"/>
    <s v="Monday"/>
    <s v="Evening"/>
    <s v="3-6 months"/>
    <x v="5"/>
    <n v="5.59"/>
    <n v="0.14000000000000001"/>
    <n v="0.68"/>
    <n v="4.26"/>
    <n v="1"/>
    <n v="25.38"/>
    <s v="Low"/>
    <m/>
    <m/>
    <m/>
    <m/>
    <m/>
    <m/>
    <m/>
    <m/>
    <m/>
    <m/>
    <m/>
    <m/>
    <m/>
  </r>
  <r>
    <x v="0"/>
    <s v="Agent_8"/>
    <s v="Tuesday"/>
    <s v="Morning"/>
    <s v="3-6 months"/>
    <x v="1"/>
    <n v="5.32"/>
    <n v="0.06"/>
    <n v="0.86"/>
    <n v="4.1500000000000004"/>
    <n v="0"/>
    <n v="22.98"/>
    <s v="Low"/>
    <m/>
    <m/>
    <m/>
    <m/>
    <m/>
    <m/>
    <m/>
    <m/>
    <m/>
    <m/>
    <m/>
    <m/>
    <m/>
  </r>
  <r>
    <x v="0"/>
    <s v="Agent_8"/>
    <s v="Tuesday"/>
    <s v="Afternoon"/>
    <s v="6+ months"/>
    <x v="44"/>
    <n v="3.77"/>
    <n v="0.09"/>
    <n v="0.89"/>
    <n v="4.3099999999999996"/>
    <n v="0"/>
    <n v="20.66"/>
    <s v="Low"/>
    <m/>
    <m/>
    <m/>
    <m/>
    <m/>
    <m/>
    <m/>
    <m/>
    <m/>
    <m/>
    <m/>
    <m/>
    <m/>
  </r>
  <r>
    <x v="0"/>
    <s v="Agent_8"/>
    <s v="Tuesday"/>
    <s v="Evening"/>
    <s v="6+ months"/>
    <x v="22"/>
    <n v="6.92"/>
    <n v="0.04"/>
    <n v="0.82"/>
    <n v="4.1399999999999997"/>
    <n v="1"/>
    <n v="27.38"/>
    <s v="Low"/>
    <m/>
    <m/>
    <m/>
    <m/>
    <m/>
    <m/>
    <m/>
    <m/>
    <m/>
    <m/>
    <m/>
    <m/>
    <m/>
  </r>
  <r>
    <x v="0"/>
    <s v="Agent_8"/>
    <s v="Wednesday"/>
    <s v="Morning"/>
    <s v="3-6 months"/>
    <x v="0"/>
    <n v="7.09"/>
    <n v="0.04"/>
    <n v="0.8"/>
    <n v="3.82"/>
    <n v="1"/>
    <n v="27.64"/>
    <s v="Low"/>
    <m/>
    <m/>
    <m/>
    <m/>
    <m/>
    <m/>
    <m/>
    <m/>
    <m/>
    <m/>
    <m/>
    <m/>
    <m/>
  </r>
  <r>
    <x v="0"/>
    <s v="Agent_8"/>
    <s v="Wednesday"/>
    <s v="Afternoon"/>
    <s v="0-3 months"/>
    <x v="41"/>
    <n v="5.95"/>
    <n v="0.24"/>
    <n v="0.77"/>
    <n v="4.2"/>
    <n v="0"/>
    <n v="23.92"/>
    <s v="Low"/>
    <m/>
    <m/>
    <m/>
    <m/>
    <m/>
    <m/>
    <m/>
    <m/>
    <m/>
    <m/>
    <m/>
    <m/>
    <m/>
  </r>
  <r>
    <x v="0"/>
    <s v="Agent_8"/>
    <s v="Wednesday"/>
    <s v="Evening"/>
    <s v="3-6 months"/>
    <x v="45"/>
    <n v="7.84"/>
    <n v="0.12"/>
    <n v="0.64"/>
    <n v="3.8"/>
    <n v="1"/>
    <n v="28.76"/>
    <s v="High"/>
    <m/>
    <m/>
    <m/>
    <m/>
    <m/>
    <m/>
    <m/>
    <m/>
    <m/>
    <m/>
    <m/>
    <m/>
    <m/>
  </r>
  <r>
    <x v="0"/>
    <s v="Agent_8"/>
    <s v="Thursday"/>
    <s v="Morning"/>
    <s v="6+ months"/>
    <x v="38"/>
    <n v="7.33"/>
    <n v="0.11"/>
    <n v="0.84"/>
    <n v="4.57"/>
    <n v="3"/>
    <n v="32"/>
    <s v="High"/>
    <m/>
    <m/>
    <m/>
    <m/>
    <m/>
    <m/>
    <m/>
    <m/>
    <m/>
    <m/>
    <m/>
    <m/>
    <m/>
  </r>
  <r>
    <x v="0"/>
    <s v="Agent_8"/>
    <s v="Thursday"/>
    <s v="Afternoon"/>
    <s v="3-6 months"/>
    <x v="42"/>
    <n v="8"/>
    <n v="7.0000000000000007E-2"/>
    <n v="0.82"/>
    <n v="4.7300000000000004"/>
    <n v="0"/>
    <n v="27"/>
    <s v="Low"/>
    <m/>
    <m/>
    <m/>
    <m/>
    <m/>
    <m/>
    <m/>
    <m/>
    <m/>
    <m/>
    <m/>
    <m/>
    <m/>
  </r>
  <r>
    <x v="0"/>
    <s v="Agent_8"/>
    <s v="Thursday"/>
    <s v="Evening"/>
    <s v="3-6 months"/>
    <x v="35"/>
    <n v="5.8"/>
    <n v="0.13"/>
    <n v="0.83"/>
    <n v="4.2300000000000004"/>
    <n v="1"/>
    <n v="25.7"/>
    <s v="Low"/>
    <m/>
    <m/>
    <m/>
    <m/>
    <m/>
    <m/>
    <m/>
    <m/>
    <m/>
    <m/>
    <m/>
    <m/>
    <m/>
  </r>
  <r>
    <x v="0"/>
    <s v="Agent_8"/>
    <s v="Friday"/>
    <s v="Morning"/>
    <s v="6+ months"/>
    <x v="11"/>
    <n v="6.05"/>
    <n v="0.1"/>
    <n v="0.87"/>
    <n v="3.99"/>
    <n v="0"/>
    <n v="24.08"/>
    <s v="Low"/>
    <m/>
    <m/>
    <m/>
    <m/>
    <m/>
    <m/>
    <m/>
    <m/>
    <m/>
    <m/>
    <m/>
    <m/>
    <m/>
  </r>
  <r>
    <x v="0"/>
    <s v="Agent_8"/>
    <s v="Friday"/>
    <s v="Afternoon"/>
    <s v="0-3 months"/>
    <x v="12"/>
    <n v="5.01"/>
    <n v="0.3"/>
    <n v="0.88"/>
    <n v="3.66"/>
    <n v="2"/>
    <n v="26.52"/>
    <s v="Low"/>
    <m/>
    <m/>
    <m/>
    <m/>
    <m/>
    <m/>
    <m/>
    <m/>
    <m/>
    <m/>
    <m/>
    <m/>
    <m/>
  </r>
  <r>
    <x v="0"/>
    <s v="Agent_8"/>
    <s v="Friday"/>
    <s v="Evening"/>
    <s v="6+ months"/>
    <x v="1"/>
    <n v="5.87"/>
    <n v="0.1"/>
    <n v="0.69"/>
    <n v="4.47"/>
    <n v="0"/>
    <n v="23.8"/>
    <s v="Low"/>
    <m/>
    <m/>
    <m/>
    <m/>
    <m/>
    <m/>
    <m/>
    <m/>
    <m/>
    <m/>
    <m/>
    <m/>
    <m/>
  </r>
  <r>
    <x v="0"/>
    <s v="Agent_9"/>
    <s v="Monday"/>
    <s v="Morning"/>
    <s v="6+ months"/>
    <x v="5"/>
    <n v="4.99"/>
    <n v="0.09"/>
    <n v="0.89"/>
    <n v="3.95"/>
    <n v="0"/>
    <n v="22.48"/>
    <s v="Low"/>
    <m/>
    <m/>
    <m/>
    <m/>
    <m/>
    <m/>
    <m/>
    <m/>
    <m/>
    <m/>
    <m/>
    <m/>
    <m/>
  </r>
  <r>
    <x v="0"/>
    <s v="Agent_9"/>
    <s v="Monday"/>
    <s v="Afternoon"/>
    <s v="6+ months"/>
    <x v="26"/>
    <n v="4.3499999999999996"/>
    <n v="0.1"/>
    <n v="0.75"/>
    <n v="4.6900000000000004"/>
    <n v="0"/>
    <n v="21.52"/>
    <s v="Low"/>
    <m/>
    <m/>
    <m/>
    <m/>
    <m/>
    <m/>
    <m/>
    <m/>
    <m/>
    <m/>
    <m/>
    <m/>
    <m/>
  </r>
  <r>
    <x v="0"/>
    <s v="Agent_9"/>
    <s v="Monday"/>
    <s v="Evening"/>
    <s v="3-6 months"/>
    <x v="42"/>
    <n v="5.28"/>
    <n v="0.05"/>
    <n v="0.65"/>
    <n v="4.17"/>
    <n v="3"/>
    <n v="28.92"/>
    <s v="High"/>
    <m/>
    <m/>
    <m/>
    <m/>
    <m/>
    <m/>
    <m/>
    <m/>
    <m/>
    <m/>
    <m/>
    <m/>
    <m/>
  </r>
  <r>
    <x v="0"/>
    <s v="Agent_9"/>
    <s v="Tuesday"/>
    <s v="Morning"/>
    <s v="3-6 months"/>
    <x v="21"/>
    <n v="6.91"/>
    <n v="7.0000000000000007E-2"/>
    <n v="0.76"/>
    <n v="4.8"/>
    <n v="0"/>
    <n v="25.36"/>
    <s v="Low"/>
    <m/>
    <m/>
    <m/>
    <m/>
    <m/>
    <m/>
    <m/>
    <m/>
    <m/>
    <m/>
    <m/>
    <m/>
    <m/>
  </r>
  <r>
    <x v="0"/>
    <s v="Agent_9"/>
    <s v="Tuesday"/>
    <s v="Afternoon"/>
    <s v="3-6 months"/>
    <x v="14"/>
    <n v="4.6399999999999997"/>
    <n v="0.12"/>
    <n v="0.8"/>
    <n v="4.1100000000000003"/>
    <n v="1"/>
    <n v="23.96"/>
    <s v="Low"/>
    <m/>
    <m/>
    <m/>
    <m/>
    <m/>
    <m/>
    <m/>
    <m/>
    <m/>
    <m/>
    <m/>
    <m/>
    <m/>
  </r>
  <r>
    <x v="0"/>
    <s v="Agent_9"/>
    <s v="Tuesday"/>
    <s v="Evening"/>
    <s v="3-6 months"/>
    <x v="3"/>
    <n v="4.09"/>
    <n v="0.09"/>
    <n v="0.62"/>
    <n v="4.51"/>
    <n v="0"/>
    <n v="21.14"/>
    <s v="Low"/>
    <m/>
    <m/>
    <m/>
    <m/>
    <m/>
    <m/>
    <m/>
    <m/>
    <m/>
    <m/>
    <m/>
    <m/>
    <m/>
  </r>
  <r>
    <x v="0"/>
    <s v="Agent_9"/>
    <s v="Wednesday"/>
    <s v="Morning"/>
    <s v="3-6 months"/>
    <x v="15"/>
    <n v="5.44"/>
    <n v="0.12"/>
    <n v="0.77"/>
    <n v="3.93"/>
    <n v="0"/>
    <n v="23.16"/>
    <s v="Low"/>
    <m/>
    <m/>
    <m/>
    <m/>
    <m/>
    <m/>
    <m/>
    <m/>
    <m/>
    <m/>
    <m/>
    <m/>
    <m/>
  </r>
  <r>
    <x v="0"/>
    <s v="Agent_9"/>
    <s v="Wednesday"/>
    <s v="Afternoon"/>
    <s v="6+ months"/>
    <x v="37"/>
    <n v="2.4300000000000002"/>
    <n v="0.06"/>
    <n v="0.85"/>
    <n v="4.03"/>
    <n v="0"/>
    <n v="18.64"/>
    <s v="Low"/>
    <m/>
    <m/>
    <m/>
    <m/>
    <m/>
    <m/>
    <m/>
    <m/>
    <m/>
    <m/>
    <m/>
    <m/>
    <m/>
  </r>
  <r>
    <x v="0"/>
    <s v="Agent_9"/>
    <s v="Wednesday"/>
    <s v="Evening"/>
    <s v="0-3 months"/>
    <x v="33"/>
    <n v="5.74"/>
    <n v="0.19"/>
    <n v="0.66"/>
    <n v="3.75"/>
    <n v="0"/>
    <n v="23.61"/>
    <s v="Low"/>
    <m/>
    <m/>
    <m/>
    <m/>
    <m/>
    <m/>
    <m/>
    <m/>
    <m/>
    <m/>
    <m/>
    <m/>
    <m/>
  </r>
  <r>
    <x v="0"/>
    <s v="Agent_9"/>
    <s v="Thursday"/>
    <s v="Morning"/>
    <s v="3-6 months"/>
    <x v="6"/>
    <n v="7.02"/>
    <n v="0.09"/>
    <n v="0.88"/>
    <n v="4.22"/>
    <n v="1"/>
    <n v="27.53"/>
    <s v="Low"/>
    <m/>
    <m/>
    <m/>
    <m/>
    <m/>
    <m/>
    <m/>
    <m/>
    <m/>
    <m/>
    <m/>
    <m/>
    <m/>
  </r>
  <r>
    <x v="0"/>
    <s v="Agent_9"/>
    <s v="Thursday"/>
    <s v="Afternoon"/>
    <s v="6+ months"/>
    <x v="8"/>
    <n v="6.71"/>
    <n v="0.13"/>
    <n v="0.81"/>
    <n v="4.37"/>
    <n v="0"/>
    <n v="25.06"/>
    <s v="Low"/>
    <m/>
    <m/>
    <m/>
    <m/>
    <m/>
    <m/>
    <m/>
    <m/>
    <m/>
    <m/>
    <m/>
    <m/>
    <m/>
  </r>
  <r>
    <x v="0"/>
    <s v="Agent_9"/>
    <s v="Thursday"/>
    <s v="Evening"/>
    <s v="0-3 months"/>
    <x v="7"/>
    <n v="6.44"/>
    <n v="7.0000000000000007E-2"/>
    <n v="0.76"/>
    <n v="4.46"/>
    <n v="2"/>
    <n v="28.66"/>
    <s v="High"/>
    <m/>
    <m/>
    <m/>
    <m/>
    <m/>
    <m/>
    <m/>
    <m/>
    <m/>
    <m/>
    <m/>
    <m/>
    <m/>
  </r>
  <r>
    <x v="0"/>
    <s v="Agent_9"/>
    <s v="Friday"/>
    <s v="Morning"/>
    <s v="0-3 months"/>
    <x v="36"/>
    <n v="4.33"/>
    <n v="0.27"/>
    <n v="0.87"/>
    <n v="3.94"/>
    <n v="0"/>
    <n v="21.5"/>
    <s v="Low"/>
    <m/>
    <m/>
    <m/>
    <m/>
    <m/>
    <m/>
    <m/>
    <m/>
    <m/>
    <m/>
    <m/>
    <m/>
    <m/>
  </r>
  <r>
    <x v="0"/>
    <s v="Agent_9"/>
    <s v="Friday"/>
    <s v="Afternoon"/>
    <s v="3-6 months"/>
    <x v="18"/>
    <n v="7.76"/>
    <n v="0.02"/>
    <n v="0.87"/>
    <n v="3.95"/>
    <n v="1"/>
    <n v="28.64"/>
    <s v="High"/>
    <m/>
    <m/>
    <m/>
    <m/>
    <m/>
    <m/>
    <m/>
    <m/>
    <m/>
    <m/>
    <m/>
    <m/>
    <m/>
  </r>
  <r>
    <x v="0"/>
    <s v="Agent_9"/>
    <s v="Friday"/>
    <s v="Evening"/>
    <s v="3-6 months"/>
    <x v="30"/>
    <n v="5.64"/>
    <n v="0.09"/>
    <n v="0.85"/>
    <n v="4.1100000000000003"/>
    <n v="0"/>
    <n v="23.46"/>
    <s v="Low"/>
    <m/>
    <m/>
    <m/>
    <m/>
    <m/>
    <m/>
    <m/>
    <m/>
    <m/>
    <m/>
    <m/>
    <m/>
    <m/>
  </r>
  <r>
    <x v="0"/>
    <s v="Agent_10"/>
    <s v="Monday"/>
    <s v="Morning"/>
    <s v="3-6 months"/>
    <x v="26"/>
    <n v="6.26"/>
    <n v="0.05"/>
    <n v="0.83"/>
    <n v="4.32"/>
    <n v="0"/>
    <n v="24.39"/>
    <s v="Low"/>
    <m/>
    <m/>
    <m/>
    <m/>
    <m/>
    <m/>
    <m/>
    <m/>
    <m/>
    <m/>
    <m/>
    <m/>
    <m/>
  </r>
  <r>
    <x v="0"/>
    <s v="Agent_10"/>
    <s v="Monday"/>
    <s v="Afternoon"/>
    <s v="0-3 months"/>
    <x v="39"/>
    <n v="4.96"/>
    <n v="0.28000000000000003"/>
    <n v="0.85"/>
    <n v="4.3899999999999997"/>
    <n v="2"/>
    <n v="26.44"/>
    <s v="Low"/>
    <m/>
    <m/>
    <m/>
    <m/>
    <m/>
    <m/>
    <m/>
    <m/>
    <m/>
    <m/>
    <m/>
    <m/>
    <m/>
  </r>
  <r>
    <x v="0"/>
    <s v="Agent_10"/>
    <s v="Monday"/>
    <s v="Evening"/>
    <s v="3-6 months"/>
    <x v="29"/>
    <n v="5.78"/>
    <n v="0.09"/>
    <n v="0.67"/>
    <n v="4.22"/>
    <n v="1"/>
    <n v="25.67"/>
    <s v="Low"/>
    <m/>
    <m/>
    <m/>
    <m/>
    <m/>
    <m/>
    <m/>
    <m/>
    <m/>
    <m/>
    <m/>
    <m/>
    <m/>
  </r>
  <r>
    <x v="0"/>
    <s v="Agent_10"/>
    <s v="Tuesday"/>
    <s v="Morning"/>
    <s v="6+ months"/>
    <x v="18"/>
    <n v="5.0999999999999996"/>
    <n v="0.12"/>
    <n v="0.79"/>
    <n v="4.32"/>
    <n v="0"/>
    <n v="22.65"/>
    <s v="Low"/>
    <m/>
    <m/>
    <m/>
    <m/>
    <m/>
    <m/>
    <m/>
    <m/>
    <m/>
    <m/>
    <m/>
    <m/>
    <m/>
  </r>
  <r>
    <x v="0"/>
    <s v="Agent_10"/>
    <s v="Tuesday"/>
    <s v="Afternoon"/>
    <s v="3-6 months"/>
    <x v="26"/>
    <n v="5.09"/>
    <n v="7.0000000000000007E-2"/>
    <n v="0.81"/>
    <n v="4.17"/>
    <n v="0"/>
    <n v="22.64"/>
    <s v="Low"/>
    <m/>
    <m/>
    <m/>
    <m/>
    <m/>
    <m/>
    <m/>
    <m/>
    <m/>
    <m/>
    <m/>
    <m/>
    <m/>
  </r>
  <r>
    <x v="0"/>
    <s v="Agent_10"/>
    <s v="Tuesday"/>
    <s v="Evening"/>
    <s v="0-3 months"/>
    <x v="39"/>
    <n v="5.77"/>
    <n v="0.28000000000000003"/>
    <n v="0.78"/>
    <n v="4.29"/>
    <n v="2"/>
    <n v="27.66"/>
    <s v="Low"/>
    <m/>
    <m/>
    <m/>
    <m/>
    <m/>
    <m/>
    <m/>
    <m/>
    <m/>
    <m/>
    <m/>
    <m/>
    <m/>
  </r>
  <r>
    <x v="0"/>
    <s v="Agent_10"/>
    <s v="Wednesday"/>
    <s v="Morning"/>
    <s v="3-6 months"/>
    <x v="8"/>
    <n v="7.21"/>
    <n v="0.14000000000000001"/>
    <n v="0.86"/>
    <n v="3.78"/>
    <n v="0"/>
    <n v="25.82"/>
    <s v="Low"/>
    <m/>
    <m/>
    <m/>
    <m/>
    <m/>
    <m/>
    <m/>
    <m/>
    <m/>
    <m/>
    <m/>
    <m/>
    <m/>
  </r>
  <r>
    <x v="0"/>
    <s v="Agent_10"/>
    <s v="Wednesday"/>
    <s v="Afternoon"/>
    <s v="0-3 months"/>
    <x v="10"/>
    <n v="6.24"/>
    <n v="0.28999999999999998"/>
    <n v="0.77"/>
    <n v="4.3099999999999996"/>
    <n v="0"/>
    <n v="24.36"/>
    <s v="Low"/>
    <m/>
    <m/>
    <m/>
    <m/>
    <m/>
    <m/>
    <m/>
    <m/>
    <m/>
    <m/>
    <m/>
    <m/>
    <m/>
  </r>
  <r>
    <x v="0"/>
    <s v="Agent_10"/>
    <s v="Wednesday"/>
    <s v="Evening"/>
    <s v="3-6 months"/>
    <x v="1"/>
    <n v="6.23"/>
    <n v="0.11"/>
    <n v="0.72"/>
    <n v="4.3899999999999997"/>
    <n v="0"/>
    <n v="24.34"/>
    <s v="Low"/>
    <m/>
    <m/>
    <m/>
    <m/>
    <m/>
    <m/>
    <m/>
    <m/>
    <m/>
    <m/>
    <m/>
    <m/>
    <m/>
  </r>
  <r>
    <x v="0"/>
    <s v="Agent_10"/>
    <s v="Thursday"/>
    <s v="Morning"/>
    <s v="0-3 months"/>
    <x v="4"/>
    <n v="5.69"/>
    <n v="0.25"/>
    <n v="0.89"/>
    <n v="4.53"/>
    <n v="1"/>
    <n v="25.54"/>
    <s v="Low"/>
    <m/>
    <m/>
    <m/>
    <m/>
    <m/>
    <m/>
    <m/>
    <m/>
    <m/>
    <m/>
    <m/>
    <m/>
    <m/>
  </r>
  <r>
    <x v="0"/>
    <s v="Agent_10"/>
    <s v="Thursday"/>
    <s v="Afternoon"/>
    <s v="3-6 months"/>
    <x v="32"/>
    <n v="5.34"/>
    <n v="0.09"/>
    <n v="0.88"/>
    <n v="4.45"/>
    <n v="2"/>
    <n v="27.01"/>
    <s v="Low"/>
    <m/>
    <m/>
    <m/>
    <m/>
    <m/>
    <m/>
    <m/>
    <m/>
    <m/>
    <m/>
    <m/>
    <m/>
    <m/>
  </r>
  <r>
    <x v="0"/>
    <s v="Agent_10"/>
    <s v="Thursday"/>
    <s v="Evening"/>
    <s v="3-6 months"/>
    <x v="3"/>
    <n v="5.55"/>
    <n v="0.08"/>
    <n v="0.66"/>
    <n v="4.78"/>
    <n v="2"/>
    <n v="27.32"/>
    <s v="Low"/>
    <m/>
    <m/>
    <m/>
    <m/>
    <m/>
    <m/>
    <m/>
    <m/>
    <m/>
    <m/>
    <m/>
    <m/>
    <m/>
  </r>
  <r>
    <x v="0"/>
    <s v="Agent_10"/>
    <s v="Friday"/>
    <s v="Morning"/>
    <s v="0-3 months"/>
    <x v="37"/>
    <n v="6.63"/>
    <n v="0.2"/>
    <n v="0.9"/>
    <n v="4.22"/>
    <n v="0"/>
    <n v="24.94"/>
    <s v="Low"/>
    <m/>
    <m/>
    <m/>
    <m/>
    <m/>
    <m/>
    <m/>
    <m/>
    <m/>
    <m/>
    <m/>
    <m/>
    <m/>
  </r>
  <r>
    <x v="0"/>
    <s v="Agent_10"/>
    <s v="Friday"/>
    <s v="Afternoon"/>
    <s v="3-6 months"/>
    <x v="45"/>
    <n v="4.92"/>
    <n v="0.14000000000000001"/>
    <n v="0.9"/>
    <n v="4.7300000000000004"/>
    <n v="0"/>
    <n v="22.38"/>
    <s v="Low"/>
    <m/>
    <m/>
    <m/>
    <m/>
    <m/>
    <m/>
    <m/>
    <m/>
    <m/>
    <m/>
    <m/>
    <m/>
    <m/>
  </r>
  <r>
    <x v="0"/>
    <s v="Agent_10"/>
    <s v="Friday"/>
    <s v="Evening"/>
    <s v="6+ months"/>
    <x v="46"/>
    <n v="7.05"/>
    <n v="0.08"/>
    <n v="0.73"/>
    <n v="4.34"/>
    <n v="1"/>
    <n v="27.58"/>
    <s v="Low"/>
    <m/>
    <m/>
    <m/>
    <m/>
    <m/>
    <m/>
    <m/>
    <m/>
    <m/>
    <m/>
    <m/>
    <m/>
    <m/>
  </r>
  <r>
    <x v="1"/>
    <s v="Agent_1"/>
    <s v="Monday"/>
    <s v="Morning"/>
    <s v="3-6 months"/>
    <x v="30"/>
    <n v="6.46"/>
    <n v="0.11"/>
    <n v="0.76"/>
    <n v="3.91"/>
    <n v="0"/>
    <n v="24.69"/>
    <s v="Low"/>
    <m/>
    <m/>
    <m/>
    <m/>
    <m/>
    <m/>
    <m/>
    <m/>
    <m/>
    <m/>
    <m/>
    <m/>
    <m/>
  </r>
  <r>
    <x v="1"/>
    <s v="Agent_1"/>
    <s v="Monday"/>
    <s v="Afternoon"/>
    <s v="6+ months"/>
    <x v="16"/>
    <n v="8.7799999999999994"/>
    <n v="0.12"/>
    <n v="0.83"/>
    <n v="4.05"/>
    <n v="2"/>
    <n v="32.17"/>
    <s v="High"/>
    <m/>
    <m/>
    <m/>
    <m/>
    <m/>
    <m/>
    <m/>
    <m/>
    <m/>
    <m/>
    <m/>
    <m/>
    <m/>
  </r>
  <r>
    <x v="1"/>
    <s v="Agent_1"/>
    <s v="Monday"/>
    <s v="Evening"/>
    <s v="3-6 months"/>
    <x v="10"/>
    <n v="7.58"/>
    <n v="0.14000000000000001"/>
    <n v="0.8"/>
    <n v="4.8"/>
    <n v="0"/>
    <n v="26.37"/>
    <s v="Low"/>
    <m/>
    <m/>
    <m/>
    <m/>
    <m/>
    <m/>
    <m/>
    <m/>
    <m/>
    <m/>
    <m/>
    <m/>
    <m/>
  </r>
  <r>
    <x v="1"/>
    <s v="Agent_1"/>
    <s v="Tuesday"/>
    <s v="Morning"/>
    <s v="6+ months"/>
    <x v="0"/>
    <n v="8.57"/>
    <n v="0.02"/>
    <n v="0.82"/>
    <n v="4.25"/>
    <n v="0"/>
    <n v="27.86"/>
    <s v="High"/>
    <m/>
    <m/>
    <m/>
    <m/>
    <m/>
    <m/>
    <m/>
    <m/>
    <m/>
    <m/>
    <m/>
    <m/>
    <m/>
  </r>
  <r>
    <x v="1"/>
    <s v="Agent_1"/>
    <s v="Tuesday"/>
    <s v="Afternoon"/>
    <s v="3-6 months"/>
    <x v="47"/>
    <n v="5.82"/>
    <n v="0.12"/>
    <n v="0.79"/>
    <n v="3.64"/>
    <n v="0"/>
    <n v="23.73"/>
    <s v="Low"/>
    <m/>
    <m/>
    <m/>
    <m/>
    <m/>
    <m/>
    <m/>
    <m/>
    <m/>
    <m/>
    <m/>
    <m/>
    <m/>
  </r>
  <r>
    <x v="1"/>
    <s v="Agent_1"/>
    <s v="Tuesday"/>
    <s v="Evening"/>
    <s v="0-3 months"/>
    <x v="19"/>
    <n v="5.74"/>
    <n v="0.23"/>
    <n v="0.75"/>
    <n v="3.86"/>
    <n v="2"/>
    <n v="27.61"/>
    <s v="Low"/>
    <m/>
    <m/>
    <m/>
    <m/>
    <m/>
    <m/>
    <m/>
    <m/>
    <m/>
    <m/>
    <m/>
    <m/>
    <m/>
  </r>
  <r>
    <x v="1"/>
    <s v="Agent_1"/>
    <s v="Wednesday"/>
    <s v="Morning"/>
    <s v="0-3 months"/>
    <x v="45"/>
    <n v="9.0500000000000007"/>
    <n v="0.1"/>
    <n v="0.89"/>
    <n v="4.5199999999999996"/>
    <n v="0"/>
    <n v="28.58"/>
    <s v="High"/>
    <m/>
    <m/>
    <m/>
    <m/>
    <m/>
    <m/>
    <m/>
    <m/>
    <m/>
    <m/>
    <m/>
    <m/>
    <m/>
  </r>
  <r>
    <x v="1"/>
    <s v="Agent_1"/>
    <s v="Wednesday"/>
    <s v="Afternoon"/>
    <s v="3-6 months"/>
    <x v="28"/>
    <n v="6.5"/>
    <n v="0.1"/>
    <n v="0.89"/>
    <n v="4.79"/>
    <n v="1"/>
    <n v="26.75"/>
    <s v="Low"/>
    <m/>
    <m/>
    <m/>
    <m/>
    <m/>
    <m/>
    <m/>
    <m/>
    <m/>
    <m/>
    <m/>
    <m/>
    <m/>
  </r>
  <r>
    <x v="1"/>
    <s v="Agent_1"/>
    <s v="Wednesday"/>
    <s v="Evening"/>
    <s v="0-3 months"/>
    <x v="11"/>
    <n v="7.67"/>
    <n v="0.2"/>
    <n v="0.73"/>
    <n v="3.8"/>
    <n v="0"/>
    <n v="26.5"/>
    <s v="Low"/>
    <m/>
    <m/>
    <m/>
    <m/>
    <m/>
    <m/>
    <m/>
    <m/>
    <m/>
    <m/>
    <m/>
    <m/>
    <m/>
  </r>
  <r>
    <x v="1"/>
    <s v="Agent_1"/>
    <s v="Thursday"/>
    <s v="Morning"/>
    <s v="0-3 months"/>
    <x v="17"/>
    <n v="7.99"/>
    <n v="0.28999999999999998"/>
    <n v="0.87"/>
    <n v="4.54"/>
    <n v="1"/>
    <n v="28.98"/>
    <s v="High"/>
    <m/>
    <m/>
    <m/>
    <m/>
    <m/>
    <m/>
    <m/>
    <m/>
    <m/>
    <m/>
    <m/>
    <m/>
    <m/>
  </r>
  <r>
    <x v="1"/>
    <s v="Agent_1"/>
    <s v="Thursday"/>
    <s v="Afternoon"/>
    <s v="0-3 months"/>
    <x v="43"/>
    <n v="7.13"/>
    <n v="0.24"/>
    <n v="0.85"/>
    <n v="3.7"/>
    <n v="2"/>
    <n v="29.7"/>
    <s v="High"/>
    <m/>
    <m/>
    <m/>
    <m/>
    <m/>
    <m/>
    <m/>
    <m/>
    <m/>
    <m/>
    <m/>
    <m/>
    <m/>
  </r>
  <r>
    <x v="1"/>
    <s v="Agent_1"/>
    <s v="Thursday"/>
    <s v="Evening"/>
    <s v="0-3 months"/>
    <x v="6"/>
    <n v="6.33"/>
    <n v="0.06"/>
    <n v="0.82"/>
    <n v="4.62"/>
    <n v="0"/>
    <n v="24.5"/>
    <s v="Low"/>
    <m/>
    <m/>
    <m/>
    <m/>
    <m/>
    <m/>
    <m/>
    <m/>
    <m/>
    <m/>
    <m/>
    <m/>
    <m/>
  </r>
  <r>
    <x v="1"/>
    <s v="Agent_1"/>
    <s v="Friday"/>
    <s v="Morning"/>
    <s v="3-6 months"/>
    <x v="15"/>
    <n v="6.9"/>
    <n v="0.13"/>
    <n v="0.76"/>
    <n v="3.93"/>
    <n v="2"/>
    <n v="29.35"/>
    <s v="High"/>
    <m/>
    <m/>
    <m/>
    <m/>
    <m/>
    <m/>
    <m/>
    <m/>
    <m/>
    <m/>
    <m/>
    <m/>
    <m/>
  </r>
  <r>
    <x v="1"/>
    <s v="Agent_1"/>
    <s v="Friday"/>
    <s v="Afternoon"/>
    <s v="6+ months"/>
    <x v="20"/>
    <n v="7.47"/>
    <n v="7.0000000000000007E-2"/>
    <n v="0.81"/>
    <n v="3.84"/>
    <n v="1"/>
    <n v="28.2"/>
    <s v="High"/>
    <m/>
    <m/>
    <m/>
    <m/>
    <m/>
    <m/>
    <m/>
    <m/>
    <m/>
    <m/>
    <m/>
    <m/>
    <m/>
  </r>
  <r>
    <x v="1"/>
    <s v="Agent_1"/>
    <s v="Friday"/>
    <s v="Evening"/>
    <s v="3-6 months"/>
    <x v="42"/>
    <n v="8.41"/>
    <n v="0.09"/>
    <n v="0.77"/>
    <n v="4.21"/>
    <n v="2"/>
    <n v="31.62"/>
    <s v="High"/>
    <m/>
    <m/>
    <m/>
    <m/>
    <m/>
    <m/>
    <m/>
    <m/>
    <m/>
    <m/>
    <m/>
    <m/>
    <m/>
  </r>
  <r>
    <x v="1"/>
    <s v="Agent_2"/>
    <s v="Monday"/>
    <s v="Morning"/>
    <s v="6+ months"/>
    <x v="8"/>
    <n v="7.54"/>
    <n v="0.12"/>
    <n v="0.85"/>
    <n v="4.6100000000000003"/>
    <n v="2"/>
    <n v="30.31"/>
    <s v="High"/>
    <m/>
    <m/>
    <m/>
    <m/>
    <m/>
    <m/>
    <m/>
    <m/>
    <m/>
    <m/>
    <m/>
    <m/>
    <m/>
  </r>
  <r>
    <x v="1"/>
    <s v="Agent_2"/>
    <s v="Monday"/>
    <s v="Afternoon"/>
    <s v="6+ months"/>
    <x v="39"/>
    <n v="7.82"/>
    <n v="0.04"/>
    <n v="0.88"/>
    <n v="4.75"/>
    <n v="0"/>
    <n v="26.73"/>
    <s v="Low"/>
    <m/>
    <m/>
    <m/>
    <m/>
    <m/>
    <m/>
    <m/>
    <m/>
    <m/>
    <m/>
    <m/>
    <m/>
    <m/>
  </r>
  <r>
    <x v="1"/>
    <s v="Agent_2"/>
    <s v="Monday"/>
    <s v="Evening"/>
    <s v="6+ months"/>
    <x v="29"/>
    <n v="6.87"/>
    <n v="0.04"/>
    <n v="0.68"/>
    <n v="4.47"/>
    <n v="0"/>
    <n v="25.3"/>
    <s v="Low"/>
    <m/>
    <m/>
    <m/>
    <m/>
    <m/>
    <m/>
    <m/>
    <m/>
    <m/>
    <m/>
    <m/>
    <m/>
    <m/>
  </r>
  <r>
    <x v="1"/>
    <s v="Agent_2"/>
    <s v="Tuesday"/>
    <s v="Morning"/>
    <s v="6+ months"/>
    <x v="12"/>
    <n v="6.69"/>
    <n v="0.05"/>
    <n v="0.76"/>
    <n v="3.92"/>
    <n v="0"/>
    <n v="25.04"/>
    <s v="Low"/>
    <m/>
    <m/>
    <m/>
    <m/>
    <m/>
    <m/>
    <m/>
    <m/>
    <m/>
    <m/>
    <m/>
    <m/>
    <m/>
  </r>
  <r>
    <x v="1"/>
    <s v="Agent_2"/>
    <s v="Tuesday"/>
    <s v="Afternoon"/>
    <s v="0-3 months"/>
    <x v="20"/>
    <n v="8.36"/>
    <n v="0.21"/>
    <n v="0.83"/>
    <n v="4.51"/>
    <n v="0"/>
    <n v="27.54"/>
    <s v="Low"/>
    <m/>
    <m/>
    <m/>
    <m/>
    <m/>
    <m/>
    <m/>
    <m/>
    <m/>
    <m/>
    <m/>
    <m/>
    <m/>
  </r>
  <r>
    <x v="1"/>
    <s v="Agent_2"/>
    <s v="Tuesday"/>
    <s v="Evening"/>
    <s v="6+ months"/>
    <x v="37"/>
    <n v="8.69"/>
    <n v="7.0000000000000007E-2"/>
    <n v="0.64"/>
    <n v="4.4800000000000004"/>
    <n v="1"/>
    <n v="30.04"/>
    <s v="High"/>
    <m/>
    <m/>
    <m/>
    <m/>
    <m/>
    <m/>
    <m/>
    <m/>
    <m/>
    <m/>
    <m/>
    <m/>
    <m/>
  </r>
  <r>
    <x v="1"/>
    <s v="Agent_2"/>
    <s v="Wednesday"/>
    <s v="Morning"/>
    <s v="0-3 months"/>
    <x v="34"/>
    <n v="7.26"/>
    <n v="7.0000000000000007E-2"/>
    <n v="0.8"/>
    <n v="4.42"/>
    <n v="0"/>
    <n v="25.89"/>
    <s v="Low"/>
    <m/>
    <m/>
    <m/>
    <m/>
    <m/>
    <m/>
    <m/>
    <m/>
    <m/>
    <m/>
    <m/>
    <m/>
    <m/>
  </r>
  <r>
    <x v="1"/>
    <s v="Agent_2"/>
    <s v="Wednesday"/>
    <s v="Afternoon"/>
    <s v="3-6 months"/>
    <x v="9"/>
    <n v="6.91"/>
    <n v="0.1"/>
    <n v="0.84"/>
    <n v="4"/>
    <n v="0"/>
    <n v="25.36"/>
    <s v="Low"/>
    <m/>
    <m/>
    <m/>
    <m/>
    <m/>
    <m/>
    <m/>
    <m/>
    <m/>
    <m/>
    <m/>
    <m/>
    <m/>
  </r>
  <r>
    <x v="1"/>
    <s v="Agent_2"/>
    <s v="Wednesday"/>
    <s v="Evening"/>
    <s v="6+ months"/>
    <x v="6"/>
    <n v="9.41"/>
    <n v="0.08"/>
    <n v="0.79"/>
    <n v="4.3899999999999997"/>
    <n v="0"/>
    <n v="29.12"/>
    <s v="High"/>
    <m/>
    <m/>
    <m/>
    <m/>
    <m/>
    <m/>
    <m/>
    <m/>
    <m/>
    <m/>
    <m/>
    <m/>
    <m/>
  </r>
  <r>
    <x v="1"/>
    <s v="Agent_2"/>
    <s v="Thursday"/>
    <s v="Morning"/>
    <s v="0-3 months"/>
    <x v="0"/>
    <n v="7.59"/>
    <n v="0.26"/>
    <n v="0.79"/>
    <n v="4.59"/>
    <n v="1"/>
    <n v="28.38"/>
    <s v="High"/>
    <m/>
    <m/>
    <m/>
    <m/>
    <m/>
    <m/>
    <m/>
    <m/>
    <m/>
    <m/>
    <m/>
    <m/>
    <m/>
  </r>
  <r>
    <x v="1"/>
    <s v="Agent_2"/>
    <s v="Thursday"/>
    <s v="Afternoon"/>
    <s v="0-3 months"/>
    <x v="40"/>
    <n v="8.67"/>
    <n v="0.12"/>
    <n v="0.89"/>
    <n v="3.7"/>
    <n v="0"/>
    <n v="28"/>
    <s v="High"/>
    <m/>
    <m/>
    <m/>
    <m/>
    <m/>
    <m/>
    <m/>
    <m/>
    <m/>
    <m/>
    <m/>
    <m/>
    <m/>
  </r>
  <r>
    <x v="1"/>
    <s v="Agent_2"/>
    <s v="Thursday"/>
    <s v="Evening"/>
    <s v="6+ months"/>
    <x v="3"/>
    <n v="7.16"/>
    <n v="0.06"/>
    <n v="0.68"/>
    <n v="4.4400000000000004"/>
    <n v="1"/>
    <n v="27.74"/>
    <s v="High"/>
    <m/>
    <m/>
    <m/>
    <m/>
    <m/>
    <m/>
    <m/>
    <m/>
    <m/>
    <m/>
    <m/>
    <m/>
    <m/>
  </r>
  <r>
    <x v="1"/>
    <s v="Agent_2"/>
    <s v="Friday"/>
    <s v="Morning"/>
    <s v="0-3 months"/>
    <x v="17"/>
    <n v="9.0500000000000007"/>
    <n v="0.21"/>
    <n v="0.81"/>
    <n v="4.62"/>
    <n v="0"/>
    <n v="28.58"/>
    <s v="High"/>
    <m/>
    <m/>
    <m/>
    <m/>
    <m/>
    <m/>
    <m/>
    <m/>
    <m/>
    <m/>
    <m/>
    <m/>
    <m/>
  </r>
  <r>
    <x v="1"/>
    <s v="Agent_2"/>
    <s v="Friday"/>
    <s v="Afternoon"/>
    <s v="6+ months"/>
    <x v="28"/>
    <n v="7.34"/>
    <n v="0.09"/>
    <n v="0.75"/>
    <n v="4.54"/>
    <n v="0"/>
    <n v="26.01"/>
    <s v="Low"/>
    <m/>
    <m/>
    <m/>
    <m/>
    <m/>
    <m/>
    <m/>
    <m/>
    <m/>
    <m/>
    <m/>
    <m/>
    <m/>
  </r>
  <r>
    <x v="1"/>
    <s v="Agent_2"/>
    <s v="Friday"/>
    <s v="Evening"/>
    <s v="6+ months"/>
    <x v="4"/>
    <n v="6.31"/>
    <n v="0.04"/>
    <n v="0.72"/>
    <n v="3.5"/>
    <n v="0"/>
    <n v="24.46"/>
    <s v="Low"/>
    <m/>
    <m/>
    <m/>
    <m/>
    <m/>
    <m/>
    <m/>
    <m/>
    <m/>
    <m/>
    <m/>
    <m/>
    <m/>
  </r>
  <r>
    <x v="1"/>
    <s v="Agent_3"/>
    <s v="Monday"/>
    <s v="Morning"/>
    <s v="3-6 months"/>
    <x v="21"/>
    <n v="6.14"/>
    <n v="0.08"/>
    <n v="0.76"/>
    <n v="4.26"/>
    <n v="0"/>
    <n v="24.21"/>
    <s v="Low"/>
    <m/>
    <m/>
    <m/>
    <m/>
    <m/>
    <m/>
    <m/>
    <m/>
    <m/>
    <m/>
    <m/>
    <m/>
    <m/>
  </r>
  <r>
    <x v="1"/>
    <s v="Agent_3"/>
    <s v="Monday"/>
    <s v="Afternoon"/>
    <s v="6+ months"/>
    <x v="40"/>
    <n v="7.18"/>
    <n v="0.15"/>
    <n v="0.77"/>
    <n v="4.0999999999999996"/>
    <n v="1"/>
    <n v="27.77"/>
    <s v="High"/>
    <m/>
    <m/>
    <m/>
    <m/>
    <m/>
    <m/>
    <m/>
    <m/>
    <m/>
    <m/>
    <m/>
    <m/>
    <m/>
  </r>
  <r>
    <x v="1"/>
    <s v="Agent_3"/>
    <s v="Monday"/>
    <s v="Evening"/>
    <s v="3-6 months"/>
    <x v="6"/>
    <n v="5.92"/>
    <n v="0.11"/>
    <n v="0.82"/>
    <n v="4.51"/>
    <n v="0"/>
    <n v="23.88"/>
    <s v="Low"/>
    <m/>
    <m/>
    <m/>
    <m/>
    <m/>
    <m/>
    <m/>
    <m/>
    <m/>
    <m/>
    <m/>
    <m/>
    <m/>
  </r>
  <r>
    <x v="1"/>
    <s v="Agent_3"/>
    <s v="Tuesday"/>
    <s v="Morning"/>
    <s v="3-6 months"/>
    <x v="8"/>
    <n v="8.26"/>
    <n v="0.04"/>
    <n v="0.77"/>
    <n v="4.24"/>
    <n v="0"/>
    <n v="27.39"/>
    <s v="Low"/>
    <m/>
    <m/>
    <m/>
    <m/>
    <m/>
    <m/>
    <m/>
    <m/>
    <m/>
    <m/>
    <m/>
    <m/>
    <m/>
  </r>
  <r>
    <x v="1"/>
    <s v="Agent_3"/>
    <s v="Tuesday"/>
    <s v="Afternoon"/>
    <s v="3-6 months"/>
    <x v="15"/>
    <n v="8.02"/>
    <n v="0.02"/>
    <n v="0.8"/>
    <n v="4.17"/>
    <n v="0"/>
    <n v="27.03"/>
    <s v="Low"/>
    <m/>
    <m/>
    <m/>
    <m/>
    <m/>
    <m/>
    <m/>
    <m/>
    <m/>
    <m/>
    <m/>
    <m/>
    <m/>
  </r>
  <r>
    <x v="1"/>
    <s v="Agent_3"/>
    <s v="Tuesday"/>
    <s v="Evening"/>
    <s v="3-6 months"/>
    <x v="25"/>
    <n v="9.2799999999999994"/>
    <n v="0.13"/>
    <n v="0.69"/>
    <n v="3.92"/>
    <n v="3"/>
    <n v="34.92"/>
    <s v="High"/>
    <m/>
    <m/>
    <m/>
    <m/>
    <m/>
    <m/>
    <m/>
    <m/>
    <m/>
    <m/>
    <m/>
    <m/>
    <m/>
  </r>
  <r>
    <x v="1"/>
    <s v="Agent_3"/>
    <s v="Wednesday"/>
    <s v="Morning"/>
    <s v="0-3 months"/>
    <x v="33"/>
    <n v="7.85"/>
    <n v="0.08"/>
    <n v="0.88"/>
    <n v="4.2699999999999996"/>
    <n v="1"/>
    <n v="28.78"/>
    <s v="High"/>
    <m/>
    <m/>
    <m/>
    <m/>
    <m/>
    <m/>
    <m/>
    <m/>
    <m/>
    <m/>
    <m/>
    <m/>
    <m/>
  </r>
  <r>
    <x v="1"/>
    <s v="Agent_3"/>
    <s v="Wednesday"/>
    <s v="Afternoon"/>
    <s v="3-6 months"/>
    <x v="23"/>
    <n v="7.63"/>
    <n v="0.11"/>
    <n v="0.88"/>
    <n v="4.43"/>
    <n v="2"/>
    <n v="30.44"/>
    <s v="High"/>
    <m/>
    <m/>
    <m/>
    <m/>
    <m/>
    <m/>
    <m/>
    <m/>
    <m/>
    <m/>
    <m/>
    <m/>
    <m/>
  </r>
  <r>
    <x v="1"/>
    <s v="Agent_3"/>
    <s v="Wednesday"/>
    <s v="Evening"/>
    <s v="3-6 months"/>
    <x v="22"/>
    <n v="8.15"/>
    <n v="0.1"/>
    <n v="0.8"/>
    <n v="4.13"/>
    <n v="0"/>
    <n v="27.22"/>
    <s v="Low"/>
    <m/>
    <m/>
    <m/>
    <m/>
    <m/>
    <m/>
    <m/>
    <m/>
    <m/>
    <m/>
    <m/>
    <m/>
    <m/>
  </r>
  <r>
    <x v="1"/>
    <s v="Agent_3"/>
    <s v="Thursday"/>
    <s v="Morning"/>
    <s v="0-3 months"/>
    <x v="12"/>
    <n v="9.48"/>
    <n v="7.0000000000000007E-2"/>
    <n v="0.76"/>
    <n v="3.82"/>
    <n v="0"/>
    <n v="29.22"/>
    <s v="High"/>
    <m/>
    <m/>
    <m/>
    <m/>
    <m/>
    <m/>
    <m/>
    <m/>
    <m/>
    <m/>
    <m/>
    <m/>
    <m/>
  </r>
  <r>
    <x v="1"/>
    <s v="Agent_3"/>
    <s v="Thursday"/>
    <s v="Afternoon"/>
    <s v="6+ months"/>
    <x v="36"/>
    <n v="8.02"/>
    <n v="0.11"/>
    <n v="0.82"/>
    <n v="4.22"/>
    <n v="1"/>
    <n v="29.03"/>
    <s v="High"/>
    <m/>
    <m/>
    <m/>
    <m/>
    <m/>
    <m/>
    <m/>
    <m/>
    <m/>
    <m/>
    <m/>
    <m/>
    <m/>
  </r>
  <r>
    <x v="1"/>
    <s v="Agent_3"/>
    <s v="Thursday"/>
    <s v="Evening"/>
    <s v="0-3 months"/>
    <x v="13"/>
    <n v="6.93"/>
    <n v="0.19"/>
    <n v="0.72"/>
    <n v="3.61"/>
    <n v="0"/>
    <n v="25.4"/>
    <s v="Low"/>
    <m/>
    <m/>
    <m/>
    <m/>
    <m/>
    <m/>
    <m/>
    <m/>
    <m/>
    <m/>
    <m/>
    <m/>
    <m/>
  </r>
  <r>
    <x v="1"/>
    <s v="Agent_3"/>
    <s v="Friday"/>
    <s v="Morning"/>
    <s v="0-3 months"/>
    <x v="45"/>
    <n v="7.24"/>
    <n v="0.27"/>
    <n v="0.86"/>
    <n v="4.47"/>
    <n v="0"/>
    <n v="25.86"/>
    <s v="Low"/>
    <m/>
    <m/>
    <m/>
    <m/>
    <m/>
    <m/>
    <m/>
    <m/>
    <m/>
    <m/>
    <m/>
    <m/>
    <m/>
  </r>
  <r>
    <x v="1"/>
    <s v="Agent_3"/>
    <s v="Friday"/>
    <s v="Afternoon"/>
    <s v="3-6 months"/>
    <x v="30"/>
    <n v="5.83"/>
    <n v="0.12"/>
    <n v="0.83"/>
    <n v="4.21"/>
    <n v="0"/>
    <n v="23.74"/>
    <s v="Low"/>
    <m/>
    <m/>
    <m/>
    <m/>
    <m/>
    <m/>
    <m/>
    <m/>
    <m/>
    <m/>
    <m/>
    <m/>
    <m/>
  </r>
  <r>
    <x v="1"/>
    <s v="Agent_3"/>
    <s v="Friday"/>
    <s v="Evening"/>
    <s v="3-6 months"/>
    <x v="20"/>
    <n v="8.58"/>
    <n v="0.14000000000000001"/>
    <n v="0.71"/>
    <n v="3.86"/>
    <n v="0"/>
    <n v="27.87"/>
    <s v="High"/>
    <m/>
    <m/>
    <m/>
    <m/>
    <m/>
    <m/>
    <m/>
    <m/>
    <m/>
    <m/>
    <m/>
    <m/>
    <m/>
  </r>
  <r>
    <x v="1"/>
    <s v="Agent_4"/>
    <s v="Monday"/>
    <s v="Morning"/>
    <s v="6+ months"/>
    <x v="32"/>
    <n v="7.46"/>
    <n v="7.0000000000000007E-2"/>
    <n v="0.82"/>
    <n v="4.59"/>
    <n v="0"/>
    <n v="26.19"/>
    <s v="Low"/>
    <m/>
    <m/>
    <m/>
    <m/>
    <m/>
    <m/>
    <m/>
    <m/>
    <m/>
    <m/>
    <m/>
    <m/>
    <m/>
  </r>
  <r>
    <x v="1"/>
    <s v="Agent_4"/>
    <s v="Monday"/>
    <s v="Afternoon"/>
    <s v="6+ months"/>
    <x v="34"/>
    <n v="7.82"/>
    <n v="0.08"/>
    <n v="0.79"/>
    <n v="4.63"/>
    <n v="0"/>
    <n v="26.73"/>
    <s v="Low"/>
    <m/>
    <m/>
    <m/>
    <m/>
    <m/>
    <m/>
    <m/>
    <m/>
    <m/>
    <m/>
    <m/>
    <m/>
    <m/>
  </r>
  <r>
    <x v="1"/>
    <s v="Agent_4"/>
    <s v="Monday"/>
    <s v="Evening"/>
    <s v="3-6 months"/>
    <x v="16"/>
    <n v="7.21"/>
    <n v="0.11"/>
    <n v="0.62"/>
    <n v="4.3499999999999996"/>
    <n v="0"/>
    <n v="25.82"/>
    <s v="Low"/>
    <m/>
    <m/>
    <m/>
    <m/>
    <m/>
    <m/>
    <m/>
    <m/>
    <m/>
    <m/>
    <m/>
    <m/>
    <m/>
  </r>
  <r>
    <x v="1"/>
    <s v="Agent_4"/>
    <s v="Tuesday"/>
    <s v="Morning"/>
    <s v="3-6 months"/>
    <x v="10"/>
    <n v="6.21"/>
    <n v="0.12"/>
    <n v="0.77"/>
    <n v="4.76"/>
    <n v="0"/>
    <n v="24.32"/>
    <s v="Low"/>
    <m/>
    <m/>
    <m/>
    <m/>
    <m/>
    <m/>
    <m/>
    <m/>
    <m/>
    <m/>
    <m/>
    <m/>
    <m/>
  </r>
  <r>
    <x v="1"/>
    <s v="Agent_4"/>
    <s v="Tuesday"/>
    <s v="Afternoon"/>
    <s v="0-3 months"/>
    <x v="4"/>
    <n v="8.66"/>
    <n v="0.16"/>
    <n v="0.8"/>
    <n v="4.08"/>
    <n v="1"/>
    <n v="29.99"/>
    <s v="High"/>
    <m/>
    <m/>
    <m/>
    <m/>
    <m/>
    <m/>
    <m/>
    <m/>
    <m/>
    <m/>
    <m/>
    <m/>
    <m/>
  </r>
  <r>
    <x v="1"/>
    <s v="Agent_4"/>
    <s v="Tuesday"/>
    <s v="Evening"/>
    <s v="0-3 months"/>
    <x v="31"/>
    <n v="8.15"/>
    <n v="0.23"/>
    <n v="0.64"/>
    <n v="3.72"/>
    <n v="0"/>
    <n v="27.22"/>
    <s v="Low"/>
    <m/>
    <m/>
    <m/>
    <m/>
    <m/>
    <m/>
    <m/>
    <m/>
    <m/>
    <m/>
    <m/>
    <m/>
    <m/>
  </r>
  <r>
    <x v="1"/>
    <s v="Agent_4"/>
    <s v="Wednesday"/>
    <s v="Morning"/>
    <s v="6+ months"/>
    <x v="27"/>
    <n v="6.11"/>
    <n v="0.09"/>
    <n v="0.87"/>
    <n v="4.42"/>
    <n v="0"/>
    <n v="24.16"/>
    <s v="Low"/>
    <m/>
    <m/>
    <m/>
    <m/>
    <m/>
    <m/>
    <m/>
    <m/>
    <m/>
    <m/>
    <m/>
    <m/>
    <m/>
  </r>
  <r>
    <x v="1"/>
    <s v="Agent_4"/>
    <s v="Wednesday"/>
    <s v="Afternoon"/>
    <s v="6+ months"/>
    <x v="42"/>
    <n v="7.24"/>
    <n v="0.06"/>
    <n v="0.76"/>
    <n v="4.1900000000000004"/>
    <n v="2"/>
    <n v="29.86"/>
    <s v="High"/>
    <m/>
    <m/>
    <m/>
    <m/>
    <m/>
    <m/>
    <m/>
    <m/>
    <m/>
    <m/>
    <m/>
    <m/>
    <m/>
  </r>
  <r>
    <x v="1"/>
    <s v="Agent_4"/>
    <s v="Wednesday"/>
    <s v="Evening"/>
    <s v="0-3 months"/>
    <x v="10"/>
    <n v="7.3"/>
    <n v="0.16"/>
    <n v="0.83"/>
    <n v="3.91"/>
    <n v="0"/>
    <n v="25.95"/>
    <s v="Low"/>
    <m/>
    <m/>
    <m/>
    <m/>
    <m/>
    <m/>
    <m/>
    <m/>
    <m/>
    <m/>
    <m/>
    <m/>
    <m/>
  </r>
  <r>
    <x v="1"/>
    <s v="Agent_4"/>
    <s v="Thursday"/>
    <s v="Morning"/>
    <s v="0-3 months"/>
    <x v="29"/>
    <n v="7.02"/>
    <n v="0.22"/>
    <n v="0.75"/>
    <n v="3.92"/>
    <n v="3"/>
    <n v="31.53"/>
    <s v="High"/>
    <m/>
    <m/>
    <m/>
    <m/>
    <m/>
    <m/>
    <m/>
    <m/>
    <m/>
    <m/>
    <m/>
    <m/>
    <m/>
  </r>
  <r>
    <x v="1"/>
    <s v="Agent_4"/>
    <s v="Thursday"/>
    <s v="Afternoon"/>
    <s v="3-6 months"/>
    <x v="6"/>
    <n v="5.04"/>
    <n v="0.09"/>
    <n v="0.8"/>
    <n v="4.1900000000000004"/>
    <n v="0"/>
    <n v="22.56"/>
    <s v="Low"/>
    <m/>
    <m/>
    <m/>
    <m/>
    <m/>
    <m/>
    <m/>
    <m/>
    <m/>
    <m/>
    <m/>
    <m/>
    <m/>
  </r>
  <r>
    <x v="1"/>
    <s v="Agent_4"/>
    <s v="Thursday"/>
    <s v="Evening"/>
    <s v="0-3 months"/>
    <x v="3"/>
    <n v="7.56"/>
    <n v="0.09"/>
    <n v="0.65"/>
    <n v="4.45"/>
    <n v="0"/>
    <n v="26.34"/>
    <s v="Low"/>
    <m/>
    <m/>
    <m/>
    <m/>
    <m/>
    <m/>
    <m/>
    <m/>
    <m/>
    <m/>
    <m/>
    <m/>
    <m/>
  </r>
  <r>
    <x v="1"/>
    <s v="Agent_4"/>
    <s v="Friday"/>
    <s v="Morning"/>
    <s v="0-3 months"/>
    <x v="6"/>
    <n v="7.62"/>
    <n v="0.09"/>
    <n v="0.85"/>
    <n v="4.59"/>
    <n v="2"/>
    <n v="30.43"/>
    <s v="High"/>
    <m/>
    <m/>
    <m/>
    <m/>
    <m/>
    <m/>
    <m/>
    <m/>
    <m/>
    <m/>
    <m/>
    <m/>
    <m/>
  </r>
  <r>
    <x v="1"/>
    <s v="Agent_4"/>
    <s v="Friday"/>
    <s v="Afternoon"/>
    <s v="3-6 months"/>
    <x v="33"/>
    <n v="8.17"/>
    <n v="0.13"/>
    <n v="0.87"/>
    <n v="3.65"/>
    <n v="1"/>
    <n v="29.26"/>
    <s v="High"/>
    <m/>
    <m/>
    <m/>
    <m/>
    <m/>
    <m/>
    <m/>
    <m/>
    <m/>
    <m/>
    <m/>
    <m/>
    <m/>
  </r>
  <r>
    <x v="1"/>
    <s v="Agent_4"/>
    <s v="Friday"/>
    <s v="Evening"/>
    <s v="6+ months"/>
    <x v="9"/>
    <n v="6.98"/>
    <n v="0.05"/>
    <n v="0.76"/>
    <n v="4.01"/>
    <n v="1"/>
    <n v="27.47"/>
    <s v="Low"/>
    <m/>
    <m/>
    <m/>
    <m/>
    <m/>
    <m/>
    <m/>
    <m/>
    <m/>
    <m/>
    <m/>
    <m/>
    <m/>
  </r>
  <r>
    <x v="1"/>
    <s v="Agent_5"/>
    <s v="Monday"/>
    <s v="Morning"/>
    <s v="0-3 months"/>
    <x v="15"/>
    <n v="7.84"/>
    <n v="0.13"/>
    <n v="0.88"/>
    <n v="4.79"/>
    <n v="1"/>
    <n v="28.76"/>
    <s v="High"/>
    <m/>
    <m/>
    <m/>
    <m/>
    <m/>
    <m/>
    <m/>
    <m/>
    <m/>
    <m/>
    <m/>
    <m/>
    <m/>
  </r>
  <r>
    <x v="1"/>
    <s v="Agent_5"/>
    <s v="Monday"/>
    <s v="Afternoon"/>
    <s v="0-3 months"/>
    <x v="38"/>
    <n v="6.39"/>
    <n v="0.23"/>
    <n v="0.88"/>
    <n v="4.03"/>
    <n v="0"/>
    <n v="24.58"/>
    <s v="Low"/>
    <m/>
    <m/>
    <m/>
    <m/>
    <m/>
    <m/>
    <m/>
    <m/>
    <m/>
    <m/>
    <m/>
    <m/>
    <m/>
  </r>
  <r>
    <x v="1"/>
    <s v="Agent_5"/>
    <s v="Monday"/>
    <s v="Evening"/>
    <s v="3-6 months"/>
    <x v="42"/>
    <n v="8.2899999999999991"/>
    <n v="7.0000000000000007E-2"/>
    <n v="0.67"/>
    <n v="4.34"/>
    <n v="0"/>
    <n v="27.44"/>
    <s v="Low"/>
    <m/>
    <m/>
    <m/>
    <m/>
    <m/>
    <m/>
    <m/>
    <m/>
    <m/>
    <m/>
    <m/>
    <m/>
    <m/>
  </r>
  <r>
    <x v="1"/>
    <s v="Agent_5"/>
    <s v="Tuesday"/>
    <s v="Morning"/>
    <s v="3-6 months"/>
    <x v="22"/>
    <n v="7.11"/>
    <n v="0.09"/>
    <n v="0.81"/>
    <n v="4.21"/>
    <n v="0"/>
    <n v="25.66"/>
    <s v="Low"/>
    <m/>
    <m/>
    <m/>
    <m/>
    <m/>
    <m/>
    <m/>
    <m/>
    <m/>
    <m/>
    <m/>
    <m/>
    <m/>
  </r>
  <r>
    <x v="1"/>
    <s v="Agent_5"/>
    <s v="Tuesday"/>
    <s v="Afternoon"/>
    <s v="3-6 months"/>
    <x v="10"/>
    <n v="9.14"/>
    <n v="0.1"/>
    <n v="0.82"/>
    <n v="3.99"/>
    <n v="2"/>
    <n v="32.71"/>
    <s v="High"/>
    <m/>
    <m/>
    <m/>
    <m/>
    <m/>
    <m/>
    <m/>
    <m/>
    <m/>
    <m/>
    <m/>
    <m/>
    <m/>
  </r>
  <r>
    <x v="1"/>
    <s v="Agent_5"/>
    <s v="Tuesday"/>
    <s v="Evening"/>
    <s v="3-6 months"/>
    <x v="42"/>
    <n v="8.51"/>
    <n v="0.14000000000000001"/>
    <n v="0.8"/>
    <n v="3.64"/>
    <n v="0"/>
    <n v="27.76"/>
    <s v="High"/>
    <m/>
    <m/>
    <m/>
    <m/>
    <m/>
    <m/>
    <m/>
    <m/>
    <m/>
    <m/>
    <m/>
    <m/>
    <m/>
  </r>
  <r>
    <x v="1"/>
    <s v="Agent_5"/>
    <s v="Wednesday"/>
    <s v="Morning"/>
    <s v="3-6 months"/>
    <x v="45"/>
    <n v="9.83"/>
    <n v="0.12"/>
    <n v="0.87"/>
    <n v="4.43"/>
    <n v="3"/>
    <n v="35.75"/>
    <s v="High"/>
    <m/>
    <m/>
    <m/>
    <m/>
    <m/>
    <m/>
    <m/>
    <m/>
    <m/>
    <m/>
    <m/>
    <m/>
    <m/>
  </r>
  <r>
    <x v="1"/>
    <s v="Agent_5"/>
    <s v="Wednesday"/>
    <s v="Afternoon"/>
    <s v="0-3 months"/>
    <x v="18"/>
    <n v="8.23"/>
    <n v="0.16"/>
    <n v="0.88"/>
    <n v="3.59"/>
    <n v="3"/>
    <n v="33.340000000000003"/>
    <s v="High"/>
    <m/>
    <m/>
    <m/>
    <m/>
    <m/>
    <m/>
    <m/>
    <m/>
    <m/>
    <m/>
    <m/>
    <m/>
    <m/>
  </r>
  <r>
    <x v="1"/>
    <s v="Agent_5"/>
    <s v="Wednesday"/>
    <s v="Evening"/>
    <s v="3-6 months"/>
    <x v="45"/>
    <n v="7.4"/>
    <n v="0.05"/>
    <n v="0.64"/>
    <n v="4.3"/>
    <n v="0"/>
    <n v="26.1"/>
    <s v="Low"/>
    <m/>
    <m/>
    <m/>
    <m/>
    <m/>
    <m/>
    <m/>
    <m/>
    <m/>
    <m/>
    <m/>
    <m/>
    <m/>
  </r>
  <r>
    <x v="1"/>
    <s v="Agent_5"/>
    <s v="Thursday"/>
    <s v="Morning"/>
    <s v="3-6 months"/>
    <x v="0"/>
    <n v="6.09"/>
    <n v="0.12"/>
    <n v="0.83"/>
    <n v="3.9"/>
    <n v="1"/>
    <n v="26.14"/>
    <s v="Low"/>
    <m/>
    <m/>
    <m/>
    <m/>
    <m/>
    <m/>
    <m/>
    <m/>
    <m/>
    <m/>
    <m/>
    <m/>
    <m/>
  </r>
  <r>
    <x v="1"/>
    <s v="Agent_5"/>
    <s v="Thursday"/>
    <s v="Afternoon"/>
    <s v="6+ months"/>
    <x v="17"/>
    <n v="6.44"/>
    <n v="0.13"/>
    <n v="0.87"/>
    <n v="3.74"/>
    <n v="0"/>
    <n v="24.66"/>
    <s v="Low"/>
    <m/>
    <m/>
    <m/>
    <m/>
    <m/>
    <m/>
    <m/>
    <m/>
    <m/>
    <m/>
    <m/>
    <m/>
    <m/>
  </r>
  <r>
    <x v="1"/>
    <s v="Agent_5"/>
    <s v="Thursday"/>
    <s v="Evening"/>
    <s v="6+ months"/>
    <x v="29"/>
    <n v="7.56"/>
    <n v="0.14000000000000001"/>
    <n v="0.71"/>
    <n v="3.61"/>
    <n v="2"/>
    <n v="30.34"/>
    <s v="High"/>
    <m/>
    <m/>
    <m/>
    <m/>
    <m/>
    <m/>
    <m/>
    <m/>
    <m/>
    <m/>
    <m/>
    <m/>
    <m/>
  </r>
  <r>
    <x v="1"/>
    <s v="Agent_5"/>
    <s v="Friday"/>
    <s v="Morning"/>
    <s v="3-6 months"/>
    <x v="48"/>
    <n v="7.97"/>
    <n v="0.1"/>
    <n v="0.87"/>
    <n v="4.6500000000000004"/>
    <n v="0"/>
    <n v="26.96"/>
    <s v="Low"/>
    <m/>
    <m/>
    <m/>
    <m/>
    <m/>
    <m/>
    <m/>
    <m/>
    <m/>
    <m/>
    <m/>
    <m/>
    <m/>
  </r>
  <r>
    <x v="1"/>
    <s v="Agent_5"/>
    <s v="Friday"/>
    <s v="Afternoon"/>
    <s v="0-3 months"/>
    <x v="37"/>
    <n v="7.64"/>
    <n v="0.09"/>
    <n v="0.8"/>
    <n v="4.68"/>
    <n v="1"/>
    <n v="28.46"/>
    <s v="High"/>
    <m/>
    <m/>
    <m/>
    <m/>
    <m/>
    <m/>
    <m/>
    <m/>
    <m/>
    <m/>
    <m/>
    <m/>
    <m/>
  </r>
  <r>
    <x v="1"/>
    <s v="Agent_5"/>
    <s v="Friday"/>
    <s v="Evening"/>
    <s v="3-6 months"/>
    <x v="49"/>
    <n v="6.78"/>
    <n v="0.13"/>
    <n v="0.71"/>
    <n v="4.37"/>
    <n v="0"/>
    <n v="25.17"/>
    <s v="Low"/>
    <m/>
    <m/>
    <m/>
    <m/>
    <m/>
    <m/>
    <m/>
    <m/>
    <m/>
    <m/>
    <m/>
    <m/>
    <m/>
  </r>
  <r>
    <x v="1"/>
    <s v="Agent_6"/>
    <s v="Monday"/>
    <s v="Morning"/>
    <s v="3-6 months"/>
    <x v="25"/>
    <n v="8.39"/>
    <n v="0.08"/>
    <n v="0.77"/>
    <n v="3.81"/>
    <n v="2"/>
    <n v="31.58"/>
    <s v="High"/>
    <m/>
    <m/>
    <m/>
    <m/>
    <m/>
    <m/>
    <m/>
    <m/>
    <m/>
    <m/>
    <m/>
    <m/>
    <m/>
  </r>
  <r>
    <x v="1"/>
    <s v="Agent_6"/>
    <s v="Monday"/>
    <s v="Afternoon"/>
    <s v="3-6 months"/>
    <x v="2"/>
    <n v="8.7200000000000006"/>
    <n v="0.09"/>
    <n v="0.78"/>
    <n v="4.01"/>
    <n v="0"/>
    <n v="28.08"/>
    <s v="High"/>
    <m/>
    <m/>
    <m/>
    <m/>
    <m/>
    <m/>
    <m/>
    <m/>
    <m/>
    <m/>
    <m/>
    <m/>
    <m/>
  </r>
  <r>
    <x v="1"/>
    <s v="Agent_6"/>
    <s v="Monday"/>
    <s v="Evening"/>
    <s v="3-6 months"/>
    <x v="44"/>
    <n v="9.1199999999999992"/>
    <n v="0.06"/>
    <n v="0.75"/>
    <n v="4.38"/>
    <n v="0"/>
    <n v="28.68"/>
    <s v="High"/>
    <m/>
    <m/>
    <m/>
    <m/>
    <m/>
    <m/>
    <m/>
    <m/>
    <m/>
    <m/>
    <m/>
    <m/>
    <m/>
  </r>
  <r>
    <x v="1"/>
    <s v="Agent_6"/>
    <s v="Tuesday"/>
    <s v="Morning"/>
    <s v="3-6 months"/>
    <x v="23"/>
    <n v="8.07"/>
    <n v="0.06"/>
    <n v="0.76"/>
    <n v="3.61"/>
    <n v="2"/>
    <n v="31.1"/>
    <s v="High"/>
    <m/>
    <m/>
    <m/>
    <m/>
    <m/>
    <m/>
    <m/>
    <m/>
    <m/>
    <m/>
    <m/>
    <m/>
    <m/>
  </r>
  <r>
    <x v="1"/>
    <s v="Agent_6"/>
    <s v="Tuesday"/>
    <s v="Afternoon"/>
    <s v="0-3 months"/>
    <x v="11"/>
    <n v="9.1300000000000008"/>
    <n v="0.14000000000000001"/>
    <n v="0.8"/>
    <n v="4.3"/>
    <n v="0"/>
    <n v="28.7"/>
    <s v="High"/>
    <m/>
    <m/>
    <m/>
    <m/>
    <m/>
    <m/>
    <m/>
    <m/>
    <m/>
    <m/>
    <m/>
    <m/>
    <m/>
  </r>
  <r>
    <x v="1"/>
    <s v="Agent_6"/>
    <s v="Tuesday"/>
    <s v="Evening"/>
    <s v="6+ months"/>
    <x v="31"/>
    <n v="7.7"/>
    <n v="0.06"/>
    <n v="0.75"/>
    <n v="4.38"/>
    <n v="0"/>
    <n v="26.55"/>
    <s v="Low"/>
    <m/>
    <m/>
    <m/>
    <m/>
    <m/>
    <m/>
    <m/>
    <m/>
    <m/>
    <m/>
    <m/>
    <m/>
    <m/>
  </r>
  <r>
    <x v="1"/>
    <s v="Agent_6"/>
    <s v="Wednesday"/>
    <s v="Morning"/>
    <s v="3-6 months"/>
    <x v="41"/>
    <n v="6.9"/>
    <n v="0.11"/>
    <n v="0.9"/>
    <n v="4.3600000000000003"/>
    <n v="0"/>
    <n v="25.35"/>
    <s v="Low"/>
    <m/>
    <m/>
    <m/>
    <m/>
    <m/>
    <m/>
    <m/>
    <m/>
    <m/>
    <m/>
    <m/>
    <m/>
    <m/>
  </r>
  <r>
    <x v="1"/>
    <s v="Agent_6"/>
    <s v="Wednesday"/>
    <s v="Afternoon"/>
    <s v="6+ months"/>
    <x v="47"/>
    <n v="8.3699999999999992"/>
    <n v="0.03"/>
    <n v="0.89"/>
    <n v="4.33"/>
    <n v="1"/>
    <n v="29.56"/>
    <s v="High"/>
    <m/>
    <m/>
    <m/>
    <m/>
    <m/>
    <m/>
    <m/>
    <m/>
    <m/>
    <m/>
    <m/>
    <m/>
    <m/>
  </r>
  <r>
    <x v="1"/>
    <s v="Agent_6"/>
    <s v="Wednesday"/>
    <s v="Evening"/>
    <s v="0-3 months"/>
    <x v="29"/>
    <n v="5.7"/>
    <n v="7.0000000000000007E-2"/>
    <n v="0.71"/>
    <n v="4.4800000000000004"/>
    <n v="0"/>
    <n v="23.55"/>
    <s v="Low"/>
    <m/>
    <m/>
    <m/>
    <m/>
    <m/>
    <m/>
    <m/>
    <m/>
    <m/>
    <m/>
    <m/>
    <m/>
    <m/>
  </r>
  <r>
    <x v="1"/>
    <s v="Agent_6"/>
    <s v="Thursday"/>
    <s v="Morning"/>
    <s v="3-6 months"/>
    <x v="21"/>
    <n v="5.16"/>
    <n v="0.04"/>
    <n v="0.9"/>
    <n v="3.53"/>
    <n v="1"/>
    <n v="24.74"/>
    <s v="Low"/>
    <m/>
    <m/>
    <m/>
    <m/>
    <m/>
    <m/>
    <m/>
    <m/>
    <m/>
    <m/>
    <m/>
    <m/>
    <m/>
  </r>
  <r>
    <x v="1"/>
    <s v="Agent_6"/>
    <s v="Thursday"/>
    <s v="Afternoon"/>
    <s v="6+ months"/>
    <x v="9"/>
    <n v="7"/>
    <n v="0.13"/>
    <n v="0.83"/>
    <n v="4.3099999999999996"/>
    <n v="0"/>
    <n v="25.5"/>
    <s v="Low"/>
    <m/>
    <m/>
    <m/>
    <m/>
    <m/>
    <m/>
    <m/>
    <m/>
    <m/>
    <m/>
    <m/>
    <m/>
    <m/>
  </r>
  <r>
    <x v="1"/>
    <s v="Agent_6"/>
    <s v="Thursday"/>
    <s v="Evening"/>
    <s v="6+ months"/>
    <x v="25"/>
    <n v="7.66"/>
    <n v="0.04"/>
    <n v="0.62"/>
    <n v="3.65"/>
    <n v="0"/>
    <n v="26.49"/>
    <s v="Low"/>
    <m/>
    <m/>
    <m/>
    <m/>
    <m/>
    <m/>
    <m/>
    <m/>
    <m/>
    <m/>
    <m/>
    <m/>
    <m/>
  </r>
  <r>
    <x v="1"/>
    <s v="Agent_6"/>
    <s v="Friday"/>
    <s v="Morning"/>
    <s v="3-6 months"/>
    <x v="23"/>
    <n v="9.9700000000000006"/>
    <n v="0.03"/>
    <n v="0.89"/>
    <n v="4.22"/>
    <n v="0"/>
    <n v="29.96"/>
    <s v="High"/>
    <m/>
    <m/>
    <m/>
    <m/>
    <m/>
    <m/>
    <m/>
    <m/>
    <m/>
    <m/>
    <m/>
    <m/>
    <m/>
  </r>
  <r>
    <x v="1"/>
    <s v="Agent_6"/>
    <s v="Friday"/>
    <s v="Afternoon"/>
    <s v="3-6 months"/>
    <x v="18"/>
    <n v="7.95"/>
    <n v="0.09"/>
    <n v="0.83"/>
    <n v="4.01"/>
    <n v="0"/>
    <n v="26.92"/>
    <s v="Low"/>
    <m/>
    <m/>
    <m/>
    <m/>
    <m/>
    <m/>
    <m/>
    <m/>
    <m/>
    <m/>
    <m/>
    <m/>
    <m/>
  </r>
  <r>
    <x v="1"/>
    <s v="Agent_6"/>
    <s v="Friday"/>
    <s v="Evening"/>
    <s v="3-6 months"/>
    <x v="24"/>
    <n v="6.97"/>
    <n v="0.13"/>
    <n v="0.7"/>
    <n v="4.6399999999999997"/>
    <n v="2"/>
    <n v="29.46"/>
    <s v="High"/>
    <m/>
    <m/>
    <m/>
    <m/>
    <m/>
    <m/>
    <m/>
    <m/>
    <m/>
    <m/>
    <m/>
    <m/>
    <m/>
  </r>
  <r>
    <x v="1"/>
    <s v="Agent_7"/>
    <s v="Monday"/>
    <s v="Morning"/>
    <s v="6+ months"/>
    <x v="3"/>
    <n v="8.08"/>
    <n v="0.06"/>
    <n v="0.75"/>
    <n v="3.7"/>
    <n v="0"/>
    <n v="27.12"/>
    <s v="Low"/>
    <m/>
    <m/>
    <m/>
    <m/>
    <m/>
    <m/>
    <m/>
    <m/>
    <m/>
    <m/>
    <m/>
    <m/>
    <m/>
  </r>
  <r>
    <x v="1"/>
    <s v="Agent_7"/>
    <s v="Monday"/>
    <s v="Afternoon"/>
    <s v="6+ months"/>
    <x v="35"/>
    <n v="6.98"/>
    <n v="0.1"/>
    <n v="0.87"/>
    <n v="3.67"/>
    <n v="2"/>
    <n v="29.47"/>
    <s v="High"/>
    <m/>
    <m/>
    <m/>
    <m/>
    <m/>
    <m/>
    <m/>
    <m/>
    <m/>
    <m/>
    <m/>
    <m/>
    <m/>
  </r>
  <r>
    <x v="1"/>
    <s v="Agent_7"/>
    <s v="Monday"/>
    <s v="Evening"/>
    <s v="6+ months"/>
    <x v="12"/>
    <n v="6.98"/>
    <n v="0.14000000000000001"/>
    <n v="0.81"/>
    <n v="4.37"/>
    <n v="0"/>
    <n v="25.47"/>
    <s v="Low"/>
    <m/>
    <m/>
    <m/>
    <m/>
    <m/>
    <m/>
    <m/>
    <m/>
    <m/>
    <m/>
    <m/>
    <m/>
    <m/>
  </r>
  <r>
    <x v="1"/>
    <s v="Agent_7"/>
    <s v="Tuesday"/>
    <s v="Morning"/>
    <s v="3-6 months"/>
    <x v="19"/>
    <n v="8.43"/>
    <n v="0.04"/>
    <n v="0.89"/>
    <n v="4.21"/>
    <n v="3"/>
    <n v="33.64"/>
    <s v="High"/>
    <m/>
    <m/>
    <m/>
    <m/>
    <m/>
    <m/>
    <m/>
    <m/>
    <m/>
    <m/>
    <m/>
    <m/>
    <m/>
  </r>
  <r>
    <x v="1"/>
    <s v="Agent_7"/>
    <s v="Tuesday"/>
    <s v="Afternoon"/>
    <s v="3-6 months"/>
    <x v="14"/>
    <n v="8.23"/>
    <n v="0.02"/>
    <n v="0.75"/>
    <n v="4.28"/>
    <n v="0"/>
    <n v="27.34"/>
    <s v="Low"/>
    <m/>
    <m/>
    <m/>
    <m/>
    <m/>
    <m/>
    <m/>
    <m/>
    <m/>
    <m/>
    <m/>
    <m/>
    <m/>
  </r>
  <r>
    <x v="1"/>
    <s v="Agent_7"/>
    <s v="Tuesday"/>
    <s v="Evening"/>
    <s v="3-6 months"/>
    <x v="31"/>
    <n v="7.04"/>
    <n v="0.12"/>
    <n v="0.71"/>
    <n v="3.58"/>
    <n v="3"/>
    <n v="31.56"/>
    <s v="High"/>
    <m/>
    <m/>
    <m/>
    <m/>
    <m/>
    <m/>
    <m/>
    <m/>
    <m/>
    <m/>
    <m/>
    <m/>
    <m/>
  </r>
  <r>
    <x v="1"/>
    <s v="Agent_7"/>
    <s v="Wednesday"/>
    <s v="Morning"/>
    <s v="0-3 months"/>
    <x v="45"/>
    <n v="6.89"/>
    <n v="0.22"/>
    <n v="0.76"/>
    <n v="4.16"/>
    <n v="3"/>
    <n v="31.34"/>
    <s v="High"/>
    <m/>
    <m/>
    <m/>
    <m/>
    <m/>
    <m/>
    <m/>
    <m/>
    <m/>
    <m/>
    <m/>
    <m/>
    <m/>
  </r>
  <r>
    <x v="1"/>
    <s v="Agent_7"/>
    <s v="Wednesday"/>
    <s v="Afternoon"/>
    <s v="6+ months"/>
    <x v="46"/>
    <n v="7.2"/>
    <n v="0.05"/>
    <n v="0.78"/>
    <n v="4.3499999999999996"/>
    <n v="2"/>
    <n v="29.8"/>
    <s v="High"/>
    <m/>
    <m/>
    <m/>
    <m/>
    <m/>
    <m/>
    <m/>
    <m/>
    <m/>
    <m/>
    <m/>
    <m/>
    <m/>
  </r>
  <r>
    <x v="1"/>
    <s v="Agent_7"/>
    <s v="Wednesday"/>
    <s v="Evening"/>
    <s v="6+ months"/>
    <x v="27"/>
    <n v="7.37"/>
    <n v="0.05"/>
    <n v="0.69"/>
    <n v="4.04"/>
    <n v="2"/>
    <n v="30.06"/>
    <s v="High"/>
    <m/>
    <m/>
    <m/>
    <m/>
    <m/>
    <m/>
    <m/>
    <m/>
    <m/>
    <m/>
    <m/>
    <m/>
    <m/>
  </r>
  <r>
    <x v="1"/>
    <s v="Agent_7"/>
    <s v="Thursday"/>
    <s v="Morning"/>
    <s v="6+ months"/>
    <x v="41"/>
    <n v="8.49"/>
    <n v="0.15"/>
    <n v="0.79"/>
    <n v="3.67"/>
    <n v="0"/>
    <n v="27.74"/>
    <s v="High"/>
    <m/>
    <m/>
    <m/>
    <m/>
    <m/>
    <m/>
    <m/>
    <m/>
    <m/>
    <m/>
    <m/>
    <m/>
    <m/>
  </r>
  <r>
    <x v="1"/>
    <s v="Agent_7"/>
    <s v="Thursday"/>
    <s v="Afternoon"/>
    <s v="6+ months"/>
    <x v="2"/>
    <n v="6.95"/>
    <n v="0.09"/>
    <n v="0.78"/>
    <n v="3.52"/>
    <n v="0"/>
    <n v="25.42"/>
    <s v="Low"/>
    <m/>
    <m/>
    <m/>
    <m/>
    <m/>
    <m/>
    <m/>
    <m/>
    <m/>
    <m/>
    <m/>
    <m/>
    <m/>
  </r>
  <r>
    <x v="1"/>
    <s v="Agent_7"/>
    <s v="Thursday"/>
    <s v="Evening"/>
    <s v="6+ months"/>
    <x v="35"/>
    <n v="7.89"/>
    <n v="0.03"/>
    <n v="0.61"/>
    <n v="3.98"/>
    <n v="0"/>
    <n v="26.84"/>
    <s v="Low"/>
    <m/>
    <m/>
    <m/>
    <m/>
    <m/>
    <m/>
    <m/>
    <m/>
    <m/>
    <m/>
    <m/>
    <m/>
    <m/>
  </r>
  <r>
    <x v="1"/>
    <s v="Agent_7"/>
    <s v="Friday"/>
    <s v="Morning"/>
    <s v="3-6 months"/>
    <x v="2"/>
    <n v="6.31"/>
    <n v="0.06"/>
    <n v="0.86"/>
    <n v="4.12"/>
    <n v="0"/>
    <n v="24.46"/>
    <s v="Low"/>
    <m/>
    <m/>
    <m/>
    <m/>
    <m/>
    <m/>
    <m/>
    <m/>
    <m/>
    <m/>
    <m/>
    <m/>
    <m/>
  </r>
  <r>
    <x v="1"/>
    <s v="Agent_7"/>
    <s v="Friday"/>
    <s v="Afternoon"/>
    <s v="3-6 months"/>
    <x v="24"/>
    <n v="7.46"/>
    <n v="7.0000000000000007E-2"/>
    <n v="0.89"/>
    <n v="3.67"/>
    <n v="0"/>
    <n v="26.19"/>
    <s v="Low"/>
    <m/>
    <m/>
    <m/>
    <m/>
    <m/>
    <m/>
    <m/>
    <m/>
    <m/>
    <m/>
    <m/>
    <m/>
    <m/>
  </r>
  <r>
    <x v="1"/>
    <s v="Agent_7"/>
    <s v="Friday"/>
    <s v="Evening"/>
    <s v="3-6 months"/>
    <x v="23"/>
    <n v="6.89"/>
    <n v="0.05"/>
    <n v="0.81"/>
    <n v="3.55"/>
    <n v="2"/>
    <n v="29.34"/>
    <s v="High"/>
    <m/>
    <m/>
    <m/>
    <m/>
    <m/>
    <m/>
    <m/>
    <m/>
    <m/>
    <m/>
    <m/>
    <m/>
    <m/>
  </r>
  <r>
    <x v="1"/>
    <s v="Agent_8"/>
    <s v="Monday"/>
    <s v="Morning"/>
    <s v="3-6 months"/>
    <x v="40"/>
    <n v="9.33"/>
    <n v="0.08"/>
    <n v="0.81"/>
    <n v="4.09"/>
    <n v="0"/>
    <n v="29"/>
    <s v="High"/>
    <m/>
    <m/>
    <m/>
    <m/>
    <m/>
    <m/>
    <m/>
    <m/>
    <m/>
    <m/>
    <m/>
    <m/>
    <m/>
  </r>
  <r>
    <x v="1"/>
    <s v="Agent_8"/>
    <s v="Monday"/>
    <s v="Afternoon"/>
    <s v="6+ months"/>
    <x v="18"/>
    <n v="6.31"/>
    <n v="0.12"/>
    <n v="0.83"/>
    <n v="4.38"/>
    <n v="0"/>
    <n v="24.46"/>
    <s v="Low"/>
    <m/>
    <m/>
    <m/>
    <m/>
    <m/>
    <m/>
    <m/>
    <m/>
    <m/>
    <m/>
    <m/>
    <m/>
    <m/>
  </r>
  <r>
    <x v="1"/>
    <s v="Agent_8"/>
    <s v="Monday"/>
    <s v="Evening"/>
    <s v="0-3 months"/>
    <x v="39"/>
    <n v="7.56"/>
    <n v="0.21"/>
    <n v="0.8"/>
    <n v="3.64"/>
    <n v="0"/>
    <n v="26.34"/>
    <s v="Low"/>
    <m/>
    <m/>
    <m/>
    <m/>
    <m/>
    <m/>
    <m/>
    <m/>
    <m/>
    <m/>
    <m/>
    <m/>
    <m/>
  </r>
  <r>
    <x v="1"/>
    <s v="Agent_8"/>
    <s v="Tuesday"/>
    <s v="Morning"/>
    <s v="3-6 months"/>
    <x v="1"/>
    <n v="6.15"/>
    <n v="7.0000000000000007E-2"/>
    <n v="0.87"/>
    <n v="4.3600000000000003"/>
    <n v="0"/>
    <n v="24.22"/>
    <s v="Low"/>
    <m/>
    <m/>
    <m/>
    <m/>
    <m/>
    <m/>
    <m/>
    <m/>
    <m/>
    <m/>
    <m/>
    <m/>
    <m/>
  </r>
  <r>
    <x v="1"/>
    <s v="Agent_8"/>
    <s v="Tuesday"/>
    <s v="Afternoon"/>
    <s v="0-3 months"/>
    <x v="31"/>
    <n v="6.53"/>
    <n v="0.19"/>
    <n v="0.87"/>
    <n v="3.59"/>
    <n v="0"/>
    <n v="24.8"/>
    <s v="Low"/>
    <m/>
    <m/>
    <m/>
    <m/>
    <m/>
    <m/>
    <m/>
    <m/>
    <m/>
    <m/>
    <m/>
    <m/>
    <m/>
  </r>
  <r>
    <x v="1"/>
    <s v="Agent_8"/>
    <s v="Tuesday"/>
    <s v="Evening"/>
    <s v="0-3 months"/>
    <x v="7"/>
    <n v="8.11"/>
    <n v="0.15"/>
    <n v="0.65"/>
    <n v="3.66"/>
    <n v="1"/>
    <n v="29.16"/>
    <s v="High"/>
    <m/>
    <m/>
    <m/>
    <m/>
    <m/>
    <m/>
    <m/>
    <m/>
    <m/>
    <m/>
    <m/>
    <m/>
    <m/>
  </r>
  <r>
    <x v="1"/>
    <s v="Agent_8"/>
    <s v="Wednesday"/>
    <s v="Morning"/>
    <s v="6+ months"/>
    <x v="23"/>
    <n v="8.81"/>
    <n v="0.14000000000000001"/>
    <n v="0.82"/>
    <n v="4.66"/>
    <n v="0"/>
    <n v="28.22"/>
    <s v="High"/>
    <m/>
    <m/>
    <m/>
    <m/>
    <m/>
    <m/>
    <m/>
    <m/>
    <m/>
    <m/>
    <m/>
    <m/>
    <m/>
  </r>
  <r>
    <x v="1"/>
    <s v="Agent_8"/>
    <s v="Wednesday"/>
    <s v="Afternoon"/>
    <s v="0-3 months"/>
    <x v="49"/>
    <n v="7.56"/>
    <n v="0.2"/>
    <n v="0.86"/>
    <n v="4.5599999999999996"/>
    <n v="1"/>
    <n v="28.34"/>
    <s v="High"/>
    <m/>
    <m/>
    <m/>
    <m/>
    <m/>
    <m/>
    <m/>
    <m/>
    <m/>
    <m/>
    <m/>
    <m/>
    <m/>
  </r>
  <r>
    <x v="1"/>
    <s v="Agent_8"/>
    <s v="Wednesday"/>
    <s v="Evening"/>
    <s v="0-3 months"/>
    <x v="45"/>
    <n v="7.77"/>
    <n v="0.08"/>
    <n v="0.75"/>
    <n v="3.62"/>
    <n v="0"/>
    <n v="26.66"/>
    <s v="Low"/>
    <m/>
    <m/>
    <m/>
    <m/>
    <m/>
    <m/>
    <m/>
    <m/>
    <m/>
    <m/>
    <m/>
    <m/>
    <m/>
  </r>
  <r>
    <x v="1"/>
    <s v="Agent_8"/>
    <s v="Thursday"/>
    <s v="Morning"/>
    <s v="3-6 months"/>
    <x v="16"/>
    <n v="6.99"/>
    <n v="0.14000000000000001"/>
    <n v="0.85"/>
    <n v="4.1399999999999997"/>
    <n v="0"/>
    <n v="25.48"/>
    <s v="Low"/>
    <m/>
    <m/>
    <m/>
    <m/>
    <m/>
    <m/>
    <m/>
    <m/>
    <m/>
    <m/>
    <m/>
    <m/>
    <m/>
  </r>
  <r>
    <x v="1"/>
    <s v="Agent_8"/>
    <s v="Thursday"/>
    <s v="Afternoon"/>
    <s v="6+ months"/>
    <x v="13"/>
    <n v="6.74"/>
    <n v="0.06"/>
    <n v="0.88"/>
    <n v="3.84"/>
    <n v="0"/>
    <n v="25.11"/>
    <s v="Low"/>
    <m/>
    <m/>
    <m/>
    <m/>
    <m/>
    <m/>
    <m/>
    <m/>
    <m/>
    <m/>
    <m/>
    <m/>
    <m/>
  </r>
  <r>
    <x v="1"/>
    <s v="Agent_8"/>
    <s v="Thursday"/>
    <s v="Evening"/>
    <s v="3-6 months"/>
    <x v="2"/>
    <n v="6.21"/>
    <n v="0.03"/>
    <n v="0.68"/>
    <n v="4.4800000000000004"/>
    <n v="0"/>
    <n v="24.32"/>
    <s v="Low"/>
    <m/>
    <m/>
    <m/>
    <m/>
    <m/>
    <m/>
    <m/>
    <m/>
    <m/>
    <m/>
    <m/>
    <m/>
    <m/>
  </r>
  <r>
    <x v="1"/>
    <s v="Agent_8"/>
    <s v="Friday"/>
    <s v="Morning"/>
    <s v="3-6 months"/>
    <x v="14"/>
    <n v="7.73"/>
    <n v="0.04"/>
    <n v="0.77"/>
    <n v="4.4400000000000004"/>
    <n v="2"/>
    <n v="30.6"/>
    <s v="High"/>
    <m/>
    <m/>
    <m/>
    <m/>
    <m/>
    <m/>
    <m/>
    <m/>
    <m/>
    <m/>
    <m/>
    <m/>
    <m/>
  </r>
  <r>
    <x v="1"/>
    <s v="Agent_8"/>
    <s v="Friday"/>
    <s v="Afternoon"/>
    <s v="0-3 months"/>
    <x v="18"/>
    <n v="7.99"/>
    <n v="0.19"/>
    <n v="0.84"/>
    <n v="4.16"/>
    <n v="0"/>
    <n v="26.98"/>
    <s v="Low"/>
    <m/>
    <m/>
    <m/>
    <m/>
    <m/>
    <m/>
    <m/>
    <m/>
    <m/>
    <m/>
    <m/>
    <m/>
    <m/>
  </r>
  <r>
    <x v="1"/>
    <s v="Agent_8"/>
    <s v="Friday"/>
    <s v="Evening"/>
    <s v="3-6 months"/>
    <x v="0"/>
    <n v="8.2200000000000006"/>
    <n v="0.03"/>
    <n v="0.74"/>
    <n v="4.6399999999999997"/>
    <n v="0"/>
    <n v="27.33"/>
    <s v="Low"/>
    <m/>
    <m/>
    <m/>
    <m/>
    <m/>
    <m/>
    <m/>
    <m/>
    <m/>
    <m/>
    <m/>
    <m/>
    <m/>
  </r>
  <r>
    <x v="1"/>
    <s v="Agent_9"/>
    <s v="Monday"/>
    <s v="Morning"/>
    <s v="0-3 months"/>
    <x v="3"/>
    <n v="8.1"/>
    <n v="0.27"/>
    <n v="0.79"/>
    <n v="3.75"/>
    <n v="2"/>
    <n v="31.15"/>
    <s v="High"/>
    <m/>
    <m/>
    <m/>
    <m/>
    <m/>
    <m/>
    <m/>
    <m/>
    <m/>
    <m/>
    <m/>
    <m/>
    <m/>
  </r>
  <r>
    <x v="1"/>
    <s v="Agent_9"/>
    <s v="Monday"/>
    <s v="Afternoon"/>
    <s v="3-6 months"/>
    <x v="16"/>
    <n v="8.27"/>
    <n v="0.09"/>
    <n v="0.86"/>
    <n v="4.3"/>
    <n v="0"/>
    <n v="27.4"/>
    <s v="Low"/>
    <m/>
    <m/>
    <m/>
    <m/>
    <m/>
    <m/>
    <m/>
    <m/>
    <m/>
    <m/>
    <m/>
    <m/>
    <m/>
  </r>
  <r>
    <x v="1"/>
    <s v="Agent_9"/>
    <s v="Monday"/>
    <s v="Evening"/>
    <s v="3-6 months"/>
    <x v="14"/>
    <n v="9.14"/>
    <n v="0.13"/>
    <n v="0.81"/>
    <n v="4.58"/>
    <n v="0"/>
    <n v="28.71"/>
    <s v="High"/>
    <m/>
    <m/>
    <m/>
    <m/>
    <m/>
    <m/>
    <m/>
    <m/>
    <m/>
    <m/>
    <m/>
    <m/>
    <m/>
  </r>
  <r>
    <x v="1"/>
    <s v="Agent_9"/>
    <s v="Tuesday"/>
    <s v="Morning"/>
    <s v="6+ months"/>
    <x v="21"/>
    <n v="10.130000000000001"/>
    <n v="0.06"/>
    <n v="0.77"/>
    <n v="3.9"/>
    <n v="2"/>
    <n v="34.200000000000003"/>
    <s v="High"/>
    <m/>
    <m/>
    <m/>
    <m/>
    <m/>
    <m/>
    <m/>
    <m/>
    <m/>
    <m/>
    <m/>
    <m/>
    <m/>
  </r>
  <r>
    <x v="1"/>
    <s v="Agent_9"/>
    <s v="Tuesday"/>
    <s v="Afternoon"/>
    <s v="6+ months"/>
    <x v="19"/>
    <n v="9.06"/>
    <n v="0.12"/>
    <n v="0.78"/>
    <n v="3.68"/>
    <n v="1"/>
    <n v="30.59"/>
    <s v="High"/>
    <m/>
    <m/>
    <m/>
    <m/>
    <m/>
    <m/>
    <m/>
    <m/>
    <m/>
    <m/>
    <m/>
    <m/>
    <m/>
  </r>
  <r>
    <x v="1"/>
    <s v="Agent_9"/>
    <s v="Tuesday"/>
    <s v="Evening"/>
    <s v="0-3 months"/>
    <x v="46"/>
    <n v="6.25"/>
    <n v="0.05"/>
    <n v="0.75"/>
    <n v="3.96"/>
    <n v="1"/>
    <n v="26.38"/>
    <s v="Low"/>
    <m/>
    <m/>
    <m/>
    <m/>
    <m/>
    <m/>
    <m/>
    <m/>
    <m/>
    <m/>
    <m/>
    <m/>
    <m/>
  </r>
  <r>
    <x v="1"/>
    <s v="Agent_9"/>
    <s v="Wednesday"/>
    <s v="Morning"/>
    <s v="0-3 months"/>
    <x v="22"/>
    <n v="9.7100000000000009"/>
    <n v="7.0000000000000007E-2"/>
    <n v="0.84"/>
    <n v="4.2300000000000004"/>
    <n v="0"/>
    <n v="29.56"/>
    <s v="High"/>
    <m/>
    <m/>
    <m/>
    <m/>
    <m/>
    <m/>
    <m/>
    <m/>
    <m/>
    <m/>
    <m/>
    <m/>
    <m/>
  </r>
  <r>
    <x v="1"/>
    <s v="Agent_9"/>
    <s v="Wednesday"/>
    <s v="Afternoon"/>
    <s v="3-6 months"/>
    <x v="20"/>
    <n v="7.2"/>
    <n v="0.1"/>
    <n v="0.84"/>
    <n v="3.53"/>
    <n v="0"/>
    <n v="25.8"/>
    <s v="Low"/>
    <m/>
    <m/>
    <m/>
    <m/>
    <m/>
    <m/>
    <m/>
    <m/>
    <m/>
    <m/>
    <m/>
    <m/>
    <m/>
  </r>
  <r>
    <x v="1"/>
    <s v="Agent_9"/>
    <s v="Wednesday"/>
    <s v="Evening"/>
    <s v="3-6 months"/>
    <x v="36"/>
    <n v="7.33"/>
    <n v="0.12"/>
    <n v="0.78"/>
    <n v="4.53"/>
    <n v="0"/>
    <n v="26"/>
    <s v="Low"/>
    <m/>
    <m/>
    <m/>
    <m/>
    <m/>
    <m/>
    <m/>
    <m/>
    <m/>
    <m/>
    <m/>
    <m/>
    <m/>
  </r>
  <r>
    <x v="1"/>
    <s v="Agent_9"/>
    <s v="Thursday"/>
    <s v="Morning"/>
    <s v="3-6 months"/>
    <x v="34"/>
    <n v="7.05"/>
    <n v="0.04"/>
    <n v="0.86"/>
    <n v="3.81"/>
    <n v="0"/>
    <n v="25.58"/>
    <s v="Low"/>
    <m/>
    <m/>
    <m/>
    <m/>
    <m/>
    <m/>
    <m/>
    <m/>
    <m/>
    <m/>
    <m/>
    <m/>
    <m/>
  </r>
  <r>
    <x v="1"/>
    <s v="Agent_9"/>
    <s v="Thursday"/>
    <s v="Afternoon"/>
    <s v="0-3 months"/>
    <x v="15"/>
    <n v="7.69"/>
    <n v="0.16"/>
    <n v="0.85"/>
    <n v="4.5199999999999996"/>
    <n v="0"/>
    <n v="26.54"/>
    <s v="Low"/>
    <m/>
    <m/>
    <m/>
    <m/>
    <m/>
    <m/>
    <m/>
    <m/>
    <m/>
    <m/>
    <m/>
    <m/>
    <m/>
  </r>
  <r>
    <x v="1"/>
    <s v="Agent_9"/>
    <s v="Thursday"/>
    <s v="Evening"/>
    <s v="3-6 months"/>
    <x v="12"/>
    <n v="8.08"/>
    <n v="0.12"/>
    <n v="0.78"/>
    <n v="4.74"/>
    <n v="0"/>
    <n v="27.12"/>
    <s v="Low"/>
    <m/>
    <m/>
    <m/>
    <m/>
    <m/>
    <m/>
    <m/>
    <m/>
    <m/>
    <m/>
    <m/>
    <m/>
    <m/>
  </r>
  <r>
    <x v="1"/>
    <s v="Agent_9"/>
    <s v="Friday"/>
    <s v="Morning"/>
    <s v="3-6 months"/>
    <x v="37"/>
    <n v="7.64"/>
    <n v="0.06"/>
    <n v="0.89"/>
    <n v="3.84"/>
    <n v="0"/>
    <n v="26.46"/>
    <s v="Low"/>
    <m/>
    <m/>
    <m/>
    <m/>
    <m/>
    <m/>
    <m/>
    <m/>
    <m/>
    <m/>
    <m/>
    <m/>
    <m/>
  </r>
  <r>
    <x v="1"/>
    <s v="Agent_9"/>
    <s v="Friday"/>
    <s v="Afternoon"/>
    <s v="6+ months"/>
    <x v="0"/>
    <n v="5.73"/>
    <n v="0.08"/>
    <n v="0.82"/>
    <n v="4.07"/>
    <n v="2"/>
    <n v="27.6"/>
    <s v="Low"/>
    <m/>
    <m/>
    <m/>
    <m/>
    <m/>
    <m/>
    <m/>
    <m/>
    <m/>
    <m/>
    <m/>
    <m/>
    <m/>
  </r>
  <r>
    <x v="1"/>
    <s v="Agent_9"/>
    <s v="Friday"/>
    <s v="Evening"/>
    <s v="6+ months"/>
    <x v="5"/>
    <n v="7.71"/>
    <n v="0.08"/>
    <n v="0.71"/>
    <n v="4.45"/>
    <n v="1"/>
    <n v="28.56"/>
    <s v="High"/>
    <m/>
    <m/>
    <m/>
    <m/>
    <m/>
    <m/>
    <m/>
    <m/>
    <m/>
    <m/>
    <m/>
    <m/>
    <m/>
  </r>
  <r>
    <x v="1"/>
    <s v="Agent_10"/>
    <s v="Monday"/>
    <s v="Morning"/>
    <s v="0-3 months"/>
    <x v="30"/>
    <n v="7.12"/>
    <n v="0.08"/>
    <n v="0.86"/>
    <n v="4.3499999999999996"/>
    <n v="3"/>
    <n v="31.68"/>
    <s v="High"/>
    <m/>
    <m/>
    <m/>
    <m/>
    <m/>
    <m/>
    <m/>
    <m/>
    <m/>
    <m/>
    <m/>
    <m/>
    <m/>
  </r>
  <r>
    <x v="1"/>
    <s v="Agent_10"/>
    <s v="Monday"/>
    <s v="Afternoon"/>
    <s v="0-3 months"/>
    <x v="30"/>
    <n v="6.55"/>
    <n v="0.25"/>
    <n v="0.9"/>
    <n v="3.98"/>
    <n v="0"/>
    <n v="24.82"/>
    <s v="Low"/>
    <m/>
    <m/>
    <m/>
    <m/>
    <m/>
    <m/>
    <m/>
    <m/>
    <m/>
    <m/>
    <m/>
    <m/>
    <m/>
  </r>
  <r>
    <x v="1"/>
    <s v="Agent_10"/>
    <s v="Monday"/>
    <s v="Evening"/>
    <s v="6+ months"/>
    <x v="42"/>
    <n v="6.55"/>
    <n v="0.03"/>
    <n v="0.72"/>
    <n v="3.54"/>
    <n v="0"/>
    <n v="24.82"/>
    <s v="Low"/>
    <m/>
    <m/>
    <m/>
    <m/>
    <m/>
    <m/>
    <m/>
    <m/>
    <m/>
    <m/>
    <m/>
    <m/>
    <m/>
  </r>
  <r>
    <x v="1"/>
    <s v="Agent_10"/>
    <s v="Tuesday"/>
    <s v="Morning"/>
    <s v="6+ months"/>
    <x v="2"/>
    <n v="5.08"/>
    <n v="7.0000000000000007E-2"/>
    <n v="0.88"/>
    <n v="3.53"/>
    <n v="1"/>
    <n v="24.62"/>
    <s v="Low"/>
    <m/>
    <m/>
    <m/>
    <m/>
    <m/>
    <m/>
    <m/>
    <m/>
    <m/>
    <m/>
    <m/>
    <m/>
    <m/>
  </r>
  <r>
    <x v="1"/>
    <s v="Agent_10"/>
    <s v="Tuesday"/>
    <s v="Afternoon"/>
    <s v="6+ months"/>
    <x v="45"/>
    <n v="8.3800000000000008"/>
    <n v="0.13"/>
    <n v="0.81"/>
    <n v="4.58"/>
    <n v="1"/>
    <n v="29.57"/>
    <s v="High"/>
    <m/>
    <m/>
    <m/>
    <m/>
    <m/>
    <m/>
    <m/>
    <m/>
    <m/>
    <m/>
    <m/>
    <m/>
    <m/>
  </r>
  <r>
    <x v="1"/>
    <s v="Agent_10"/>
    <s v="Tuesday"/>
    <s v="Evening"/>
    <s v="3-6 months"/>
    <x v="27"/>
    <n v="6.39"/>
    <n v="0.09"/>
    <n v="0.72"/>
    <n v="4.76"/>
    <n v="1"/>
    <n v="26.58"/>
    <s v="Low"/>
    <m/>
    <m/>
    <m/>
    <m/>
    <m/>
    <m/>
    <m/>
    <m/>
    <m/>
    <m/>
    <m/>
    <m/>
    <m/>
  </r>
  <r>
    <x v="1"/>
    <s v="Agent_10"/>
    <s v="Wednesday"/>
    <s v="Morning"/>
    <s v="3-6 months"/>
    <x v="23"/>
    <n v="8.07"/>
    <n v="0.02"/>
    <n v="0.86"/>
    <n v="4.04"/>
    <n v="0"/>
    <n v="27.1"/>
    <s v="Low"/>
    <m/>
    <m/>
    <m/>
    <m/>
    <m/>
    <m/>
    <m/>
    <m/>
    <m/>
    <m/>
    <m/>
    <m/>
    <m/>
  </r>
  <r>
    <x v="1"/>
    <s v="Agent_10"/>
    <s v="Wednesday"/>
    <s v="Afternoon"/>
    <s v="3-6 months"/>
    <x v="25"/>
    <n v="6.48"/>
    <n v="0.13"/>
    <n v="0.86"/>
    <n v="3.59"/>
    <n v="1"/>
    <n v="26.72"/>
    <s v="Low"/>
    <m/>
    <m/>
    <m/>
    <m/>
    <m/>
    <m/>
    <m/>
    <m/>
    <m/>
    <m/>
    <m/>
    <m/>
    <m/>
  </r>
  <r>
    <x v="1"/>
    <s v="Agent_10"/>
    <s v="Wednesday"/>
    <s v="Evening"/>
    <s v="3-6 months"/>
    <x v="42"/>
    <n v="7.56"/>
    <n v="0.05"/>
    <n v="0.81"/>
    <n v="4.0599999999999996"/>
    <n v="0"/>
    <n v="26.34"/>
    <s v="Low"/>
    <m/>
    <m/>
    <m/>
    <m/>
    <m/>
    <m/>
    <m/>
    <m/>
    <m/>
    <m/>
    <m/>
    <m/>
    <m/>
  </r>
  <r>
    <x v="1"/>
    <s v="Agent_10"/>
    <s v="Thursday"/>
    <s v="Morning"/>
    <s v="3-6 months"/>
    <x v="44"/>
    <n v="9.1300000000000008"/>
    <n v="0.06"/>
    <n v="0.87"/>
    <n v="3.65"/>
    <n v="0"/>
    <n v="28.7"/>
    <s v="High"/>
    <m/>
    <m/>
    <m/>
    <m/>
    <m/>
    <m/>
    <m/>
    <m/>
    <m/>
    <m/>
    <m/>
    <m/>
    <m/>
  </r>
  <r>
    <x v="1"/>
    <s v="Agent_10"/>
    <s v="Thursday"/>
    <s v="Afternoon"/>
    <s v="6+ months"/>
    <x v="17"/>
    <n v="7.24"/>
    <n v="0.05"/>
    <n v="0.79"/>
    <n v="3.71"/>
    <n v="0"/>
    <n v="25.86"/>
    <s v="Low"/>
    <m/>
    <m/>
    <m/>
    <m/>
    <m/>
    <m/>
    <m/>
    <m/>
    <m/>
    <m/>
    <m/>
    <m/>
    <m/>
  </r>
  <r>
    <x v="1"/>
    <s v="Agent_10"/>
    <s v="Thursday"/>
    <s v="Evening"/>
    <s v="6+ months"/>
    <x v="41"/>
    <n v="6.53"/>
    <n v="0.05"/>
    <n v="0.84"/>
    <n v="4.2300000000000004"/>
    <n v="1"/>
    <n v="26.8"/>
    <s v="Low"/>
    <m/>
    <m/>
    <m/>
    <m/>
    <m/>
    <m/>
    <m/>
    <m/>
    <m/>
    <m/>
    <m/>
    <m/>
    <m/>
  </r>
  <r>
    <x v="1"/>
    <s v="Agent_10"/>
    <s v="Friday"/>
    <s v="Morning"/>
    <s v="3-6 months"/>
    <x v="44"/>
    <n v="7.96"/>
    <n v="0.03"/>
    <n v="0.82"/>
    <n v="4.68"/>
    <n v="0"/>
    <n v="26.94"/>
    <s v="Low"/>
    <m/>
    <m/>
    <m/>
    <m/>
    <m/>
    <m/>
    <m/>
    <m/>
    <m/>
    <m/>
    <m/>
    <m/>
    <m/>
  </r>
  <r>
    <x v="1"/>
    <s v="Agent_10"/>
    <s v="Friday"/>
    <s v="Afternoon"/>
    <s v="3-6 months"/>
    <x v="42"/>
    <n v="6.7"/>
    <n v="7.0000000000000007E-2"/>
    <n v="0.76"/>
    <n v="4.07"/>
    <n v="0"/>
    <n v="25.05"/>
    <s v="Low"/>
    <m/>
    <m/>
    <m/>
    <m/>
    <m/>
    <m/>
    <m/>
    <m/>
    <m/>
    <m/>
    <m/>
    <m/>
    <m/>
  </r>
  <r>
    <x v="1"/>
    <s v="Agent_10"/>
    <s v="Friday"/>
    <s v="Evening"/>
    <s v="0-3 months"/>
    <x v="11"/>
    <n v="5.37"/>
    <n v="0.12"/>
    <n v="0.8"/>
    <n v="4.25"/>
    <n v="1"/>
    <n v="25.06"/>
    <s v="Low"/>
    <m/>
    <m/>
    <m/>
    <m/>
    <m/>
    <m/>
    <m/>
    <m/>
    <m/>
    <m/>
    <m/>
    <m/>
    <m/>
  </r>
  <r>
    <x v="2"/>
    <s v="Agent_1"/>
    <s v="Monday"/>
    <s v="Morning"/>
    <s v="6+ months"/>
    <x v="6"/>
    <n v="3.24"/>
    <n v="0.09"/>
    <n v="0.77"/>
    <n v="4.3"/>
    <n v="0"/>
    <n v="19.86"/>
    <s v="Low"/>
    <m/>
    <m/>
    <m/>
    <m/>
    <m/>
    <m/>
    <m/>
    <m/>
    <m/>
    <m/>
    <m/>
    <m/>
    <m/>
  </r>
  <r>
    <x v="2"/>
    <s v="Agent_1"/>
    <s v="Monday"/>
    <s v="Afternoon"/>
    <s v="6+ months"/>
    <x v="39"/>
    <n v="7.06"/>
    <n v="0.15"/>
    <n v="0.77"/>
    <n v="3.76"/>
    <n v="0"/>
    <n v="25.59"/>
    <s v="Low"/>
    <m/>
    <m/>
    <m/>
    <m/>
    <m/>
    <m/>
    <m/>
    <m/>
    <m/>
    <m/>
    <m/>
    <m/>
    <m/>
  </r>
  <r>
    <x v="2"/>
    <s v="Agent_1"/>
    <s v="Monday"/>
    <s v="Evening"/>
    <s v="6+ months"/>
    <x v="7"/>
    <n v="5.8"/>
    <n v="0.1"/>
    <n v="0.62"/>
    <n v="4.6500000000000004"/>
    <n v="2"/>
    <n v="27.7"/>
    <s v="High"/>
    <m/>
    <m/>
    <m/>
    <m/>
    <m/>
    <m/>
    <m/>
    <m/>
    <m/>
    <m/>
    <m/>
    <m/>
    <m/>
  </r>
  <r>
    <x v="2"/>
    <s v="Agent_1"/>
    <s v="Tuesday"/>
    <s v="Morning"/>
    <s v="3-6 months"/>
    <x v="3"/>
    <n v="4.84"/>
    <n v="0.15"/>
    <n v="0.82"/>
    <n v="3.66"/>
    <n v="1"/>
    <n v="24.26"/>
    <s v="Low"/>
    <m/>
    <m/>
    <m/>
    <m/>
    <m/>
    <m/>
    <m/>
    <m/>
    <m/>
    <m/>
    <m/>
    <m/>
    <m/>
  </r>
  <r>
    <x v="2"/>
    <s v="Agent_1"/>
    <s v="Tuesday"/>
    <s v="Afternoon"/>
    <s v="3-6 months"/>
    <x v="15"/>
    <n v="5.81"/>
    <n v="0.04"/>
    <n v="0.75"/>
    <n v="4.2300000000000004"/>
    <n v="0"/>
    <n v="23.72"/>
    <s v="Low"/>
    <m/>
    <m/>
    <m/>
    <m/>
    <m/>
    <m/>
    <m/>
    <m/>
    <m/>
    <m/>
    <m/>
    <m/>
    <m/>
  </r>
  <r>
    <x v="2"/>
    <s v="Agent_1"/>
    <s v="Tuesday"/>
    <s v="Evening"/>
    <s v="6+ months"/>
    <x v="20"/>
    <n v="6.99"/>
    <n v="0.05"/>
    <n v="0.69"/>
    <n v="4.7699999999999996"/>
    <n v="0"/>
    <n v="25.48"/>
    <s v="Low"/>
    <m/>
    <m/>
    <m/>
    <m/>
    <m/>
    <m/>
    <m/>
    <m/>
    <m/>
    <m/>
    <m/>
    <m/>
    <m/>
  </r>
  <r>
    <x v="2"/>
    <s v="Agent_1"/>
    <s v="Wednesday"/>
    <s v="Morning"/>
    <s v="0-3 months"/>
    <x v="24"/>
    <n v="7.81"/>
    <n v="0.13"/>
    <n v="0.82"/>
    <n v="4.57"/>
    <n v="0"/>
    <n v="26.72"/>
    <s v="Low"/>
    <m/>
    <m/>
    <m/>
    <m/>
    <m/>
    <m/>
    <m/>
    <m/>
    <m/>
    <m/>
    <m/>
    <m/>
    <m/>
  </r>
  <r>
    <x v="2"/>
    <s v="Agent_1"/>
    <s v="Wednesday"/>
    <s v="Afternoon"/>
    <s v="3-6 months"/>
    <x v="20"/>
    <n v="6.35"/>
    <n v="0.13"/>
    <n v="0.88"/>
    <n v="4.18"/>
    <n v="0"/>
    <n v="24.52"/>
    <s v="Low"/>
    <m/>
    <m/>
    <m/>
    <m/>
    <m/>
    <m/>
    <m/>
    <m/>
    <m/>
    <m/>
    <m/>
    <m/>
    <m/>
  </r>
  <r>
    <x v="2"/>
    <s v="Agent_1"/>
    <s v="Wednesday"/>
    <s v="Evening"/>
    <s v="0-3 months"/>
    <x v="5"/>
    <n v="5.76"/>
    <n v="0.09"/>
    <n v="0.69"/>
    <n v="4.09"/>
    <n v="1"/>
    <n v="25.64"/>
    <s v="Low"/>
    <m/>
    <m/>
    <m/>
    <m/>
    <m/>
    <m/>
    <m/>
    <m/>
    <m/>
    <m/>
    <m/>
    <m/>
    <m/>
  </r>
  <r>
    <x v="2"/>
    <s v="Agent_1"/>
    <s v="Thursday"/>
    <s v="Morning"/>
    <s v="3-6 months"/>
    <x v="7"/>
    <n v="5.63"/>
    <n v="0.1"/>
    <n v="0.86"/>
    <n v="4.55"/>
    <n v="2"/>
    <n v="27.44"/>
    <s v="Low"/>
    <m/>
    <m/>
    <m/>
    <m/>
    <m/>
    <m/>
    <m/>
    <m/>
    <m/>
    <m/>
    <m/>
    <m/>
    <m/>
  </r>
  <r>
    <x v="2"/>
    <s v="Agent_1"/>
    <s v="Thursday"/>
    <s v="Afternoon"/>
    <s v="0-3 months"/>
    <x v="25"/>
    <n v="6.37"/>
    <n v="0.13"/>
    <n v="0.85"/>
    <n v="3.59"/>
    <n v="0"/>
    <n v="24.56"/>
    <s v="Low"/>
    <m/>
    <m/>
    <m/>
    <m/>
    <m/>
    <m/>
    <m/>
    <m/>
    <m/>
    <m/>
    <m/>
    <m/>
    <m/>
  </r>
  <r>
    <x v="2"/>
    <s v="Agent_1"/>
    <s v="Thursday"/>
    <s v="Evening"/>
    <s v="6+ months"/>
    <x v="9"/>
    <n v="5.21"/>
    <n v="0.13"/>
    <n v="0.67"/>
    <n v="4.34"/>
    <n v="1"/>
    <n v="24.82"/>
    <s v="Low"/>
    <m/>
    <m/>
    <m/>
    <m/>
    <m/>
    <m/>
    <m/>
    <m/>
    <m/>
    <m/>
    <m/>
    <m/>
    <m/>
  </r>
  <r>
    <x v="2"/>
    <s v="Agent_1"/>
    <s v="Friday"/>
    <s v="Morning"/>
    <s v="3-6 months"/>
    <x v="24"/>
    <n v="5.41"/>
    <n v="0.12"/>
    <n v="0.81"/>
    <n v="4.49"/>
    <n v="2"/>
    <n v="27.12"/>
    <s v="Low"/>
    <m/>
    <m/>
    <m/>
    <m/>
    <m/>
    <m/>
    <m/>
    <m/>
    <m/>
    <m/>
    <m/>
    <m/>
    <m/>
  </r>
  <r>
    <x v="2"/>
    <s v="Agent_1"/>
    <s v="Friday"/>
    <s v="Afternoon"/>
    <s v="0-3 months"/>
    <x v="43"/>
    <n v="5.81"/>
    <n v="0.25"/>
    <n v="0.85"/>
    <n v="3.84"/>
    <n v="2"/>
    <n v="27.72"/>
    <s v="High"/>
    <m/>
    <m/>
    <m/>
    <m/>
    <m/>
    <m/>
    <m/>
    <m/>
    <m/>
    <m/>
    <m/>
    <m/>
    <m/>
  </r>
  <r>
    <x v="2"/>
    <s v="Agent_1"/>
    <s v="Friday"/>
    <s v="Evening"/>
    <s v="3-6 months"/>
    <x v="18"/>
    <n v="5.62"/>
    <n v="7.0000000000000007E-2"/>
    <n v="0.66"/>
    <n v="4"/>
    <n v="0"/>
    <n v="23.43"/>
    <s v="Low"/>
    <m/>
    <m/>
    <m/>
    <m/>
    <m/>
    <m/>
    <m/>
    <m/>
    <m/>
    <m/>
    <m/>
    <m/>
    <m/>
  </r>
  <r>
    <x v="2"/>
    <s v="Agent_2"/>
    <s v="Monday"/>
    <s v="Morning"/>
    <s v="3-6 months"/>
    <x v="12"/>
    <n v="4.8600000000000003"/>
    <n v="0.08"/>
    <n v="0.75"/>
    <n v="4.05"/>
    <n v="0"/>
    <n v="22.29"/>
    <s v="Low"/>
    <m/>
    <m/>
    <m/>
    <m/>
    <m/>
    <m/>
    <m/>
    <m/>
    <m/>
    <m/>
    <m/>
    <m/>
    <m/>
  </r>
  <r>
    <x v="2"/>
    <s v="Agent_2"/>
    <s v="Monday"/>
    <s v="Afternoon"/>
    <s v="6+ months"/>
    <x v="41"/>
    <n v="5.56"/>
    <n v="0.14000000000000001"/>
    <n v="0.86"/>
    <n v="4.55"/>
    <n v="0"/>
    <n v="23.34"/>
    <s v="Low"/>
    <m/>
    <m/>
    <m/>
    <m/>
    <m/>
    <m/>
    <m/>
    <m/>
    <m/>
    <m/>
    <m/>
    <m/>
    <m/>
  </r>
  <r>
    <x v="2"/>
    <s v="Agent_2"/>
    <s v="Monday"/>
    <s v="Evening"/>
    <s v="6+ months"/>
    <x v="43"/>
    <n v="6.75"/>
    <n v="0.06"/>
    <n v="0.81"/>
    <n v="3.87"/>
    <n v="2"/>
    <n v="29.12"/>
    <s v="High"/>
    <m/>
    <m/>
    <m/>
    <m/>
    <m/>
    <m/>
    <m/>
    <m/>
    <m/>
    <m/>
    <m/>
    <m/>
    <m/>
  </r>
  <r>
    <x v="2"/>
    <s v="Agent_2"/>
    <s v="Tuesday"/>
    <s v="Morning"/>
    <s v="0-3 months"/>
    <x v="24"/>
    <n v="4.3"/>
    <n v="0.26"/>
    <n v="0.76"/>
    <n v="3.79"/>
    <n v="1"/>
    <n v="23.45"/>
    <s v="Low"/>
    <m/>
    <m/>
    <m/>
    <m/>
    <m/>
    <m/>
    <m/>
    <m/>
    <m/>
    <m/>
    <m/>
    <m/>
    <m/>
  </r>
  <r>
    <x v="2"/>
    <s v="Agent_2"/>
    <s v="Tuesday"/>
    <s v="Afternoon"/>
    <s v="3-6 months"/>
    <x v="19"/>
    <n v="6.53"/>
    <n v="0.13"/>
    <n v="0.88"/>
    <n v="3.93"/>
    <n v="0"/>
    <n v="24.8"/>
    <s v="Low"/>
    <m/>
    <m/>
    <m/>
    <m/>
    <m/>
    <m/>
    <m/>
    <m/>
    <m/>
    <m/>
    <m/>
    <m/>
    <m/>
  </r>
  <r>
    <x v="2"/>
    <s v="Agent_2"/>
    <s v="Tuesday"/>
    <s v="Evening"/>
    <s v="6+ months"/>
    <x v="3"/>
    <n v="6.73"/>
    <n v="0.02"/>
    <n v="0.75"/>
    <n v="4.79"/>
    <n v="2"/>
    <n v="29.1"/>
    <s v="High"/>
    <m/>
    <m/>
    <m/>
    <m/>
    <m/>
    <m/>
    <m/>
    <m/>
    <m/>
    <m/>
    <m/>
    <m/>
    <m/>
  </r>
  <r>
    <x v="2"/>
    <s v="Agent_2"/>
    <s v="Wednesday"/>
    <s v="Morning"/>
    <s v="3-6 months"/>
    <x v="31"/>
    <n v="5.35"/>
    <n v="0.05"/>
    <n v="0.78"/>
    <n v="4.13"/>
    <n v="1"/>
    <n v="25.02"/>
    <s v="Low"/>
    <m/>
    <m/>
    <m/>
    <m/>
    <m/>
    <m/>
    <m/>
    <m/>
    <m/>
    <m/>
    <m/>
    <m/>
    <m/>
  </r>
  <r>
    <x v="2"/>
    <s v="Agent_2"/>
    <s v="Wednesday"/>
    <s v="Afternoon"/>
    <s v="3-6 months"/>
    <x v="43"/>
    <n v="6.98"/>
    <n v="0.13"/>
    <n v="0.84"/>
    <n v="4.17"/>
    <n v="0"/>
    <n v="25.47"/>
    <s v="Low"/>
    <m/>
    <m/>
    <m/>
    <m/>
    <m/>
    <m/>
    <m/>
    <m/>
    <m/>
    <m/>
    <m/>
    <m/>
    <m/>
  </r>
  <r>
    <x v="2"/>
    <s v="Agent_2"/>
    <s v="Wednesday"/>
    <s v="Evening"/>
    <s v="3-6 months"/>
    <x v="32"/>
    <n v="6.5"/>
    <n v="0.08"/>
    <n v="0.63"/>
    <n v="3.94"/>
    <n v="0"/>
    <n v="24.75"/>
    <s v="Low"/>
    <m/>
    <m/>
    <m/>
    <m/>
    <m/>
    <m/>
    <m/>
    <m/>
    <m/>
    <m/>
    <m/>
    <m/>
    <m/>
  </r>
  <r>
    <x v="2"/>
    <s v="Agent_2"/>
    <s v="Thursday"/>
    <s v="Morning"/>
    <s v="0-3 months"/>
    <x v="2"/>
    <n v="7.22"/>
    <n v="0.23"/>
    <n v="0.79"/>
    <n v="4.17"/>
    <n v="0"/>
    <n v="25.83"/>
    <s v="Low"/>
    <m/>
    <m/>
    <m/>
    <m/>
    <m/>
    <m/>
    <m/>
    <m/>
    <m/>
    <m/>
    <m/>
    <m/>
    <m/>
  </r>
  <r>
    <x v="2"/>
    <s v="Agent_2"/>
    <s v="Thursday"/>
    <s v="Afternoon"/>
    <s v="3-6 months"/>
    <x v="48"/>
    <n v="7.75"/>
    <n v="0.15"/>
    <n v="0.79"/>
    <n v="3.85"/>
    <n v="0"/>
    <n v="26.62"/>
    <s v="Low"/>
    <m/>
    <m/>
    <m/>
    <m/>
    <m/>
    <m/>
    <m/>
    <m/>
    <m/>
    <m/>
    <m/>
    <m/>
    <m/>
  </r>
  <r>
    <x v="2"/>
    <s v="Agent_2"/>
    <s v="Thursday"/>
    <s v="Evening"/>
    <s v="6+ months"/>
    <x v="11"/>
    <n v="5.38"/>
    <n v="0.05"/>
    <n v="0.69"/>
    <n v="4.1100000000000003"/>
    <n v="0"/>
    <n v="23.07"/>
    <s v="Low"/>
    <m/>
    <m/>
    <m/>
    <m/>
    <m/>
    <m/>
    <m/>
    <m/>
    <m/>
    <m/>
    <m/>
    <m/>
    <m/>
  </r>
  <r>
    <x v="2"/>
    <s v="Agent_2"/>
    <s v="Friday"/>
    <s v="Morning"/>
    <s v="0-3 months"/>
    <x v="29"/>
    <n v="6.19"/>
    <n v="0.28999999999999998"/>
    <n v="0.8"/>
    <n v="4.13"/>
    <n v="0"/>
    <n v="24.28"/>
    <s v="Low"/>
    <m/>
    <m/>
    <m/>
    <m/>
    <m/>
    <m/>
    <m/>
    <m/>
    <m/>
    <m/>
    <m/>
    <m/>
    <m/>
  </r>
  <r>
    <x v="2"/>
    <s v="Agent_2"/>
    <s v="Friday"/>
    <s v="Afternoon"/>
    <s v="3-6 months"/>
    <x v="48"/>
    <n v="8.48"/>
    <n v="0.09"/>
    <n v="0.88"/>
    <n v="3.56"/>
    <n v="2"/>
    <n v="31.72"/>
    <s v="High"/>
    <m/>
    <m/>
    <m/>
    <m/>
    <m/>
    <m/>
    <m/>
    <m/>
    <m/>
    <m/>
    <m/>
    <m/>
    <m/>
  </r>
  <r>
    <x v="2"/>
    <s v="Agent_2"/>
    <s v="Friday"/>
    <s v="Evening"/>
    <s v="6+ months"/>
    <x v="25"/>
    <n v="5.3"/>
    <n v="0.06"/>
    <n v="0.8"/>
    <n v="4.24"/>
    <n v="0"/>
    <n v="22.95"/>
    <s v="Low"/>
    <m/>
    <m/>
    <m/>
    <m/>
    <m/>
    <m/>
    <m/>
    <m/>
    <m/>
    <m/>
    <m/>
    <m/>
    <m/>
  </r>
  <r>
    <x v="2"/>
    <s v="Agent_3"/>
    <s v="Monday"/>
    <s v="Morning"/>
    <s v="0-3 months"/>
    <x v="23"/>
    <n v="5.22"/>
    <n v="0.2"/>
    <n v="0.77"/>
    <n v="3.95"/>
    <n v="0"/>
    <n v="22.83"/>
    <s v="Low"/>
    <m/>
    <m/>
    <m/>
    <m/>
    <m/>
    <m/>
    <m/>
    <m/>
    <m/>
    <m/>
    <m/>
    <m/>
    <m/>
  </r>
  <r>
    <x v="2"/>
    <s v="Agent_3"/>
    <s v="Monday"/>
    <s v="Afternoon"/>
    <s v="6+ months"/>
    <x v="14"/>
    <n v="5.81"/>
    <n v="0.11"/>
    <n v="0.76"/>
    <n v="4.09"/>
    <n v="2"/>
    <n v="27.72"/>
    <s v="High"/>
    <m/>
    <m/>
    <m/>
    <m/>
    <m/>
    <m/>
    <m/>
    <m/>
    <m/>
    <m/>
    <m/>
    <m/>
    <m/>
  </r>
  <r>
    <x v="2"/>
    <s v="Agent_3"/>
    <s v="Monday"/>
    <s v="Evening"/>
    <s v="0-3 months"/>
    <x v="1"/>
    <n v="4.2"/>
    <n v="0.28000000000000003"/>
    <n v="0.78"/>
    <n v="4.29"/>
    <n v="0"/>
    <n v="21.3"/>
    <s v="Low"/>
    <m/>
    <m/>
    <m/>
    <m/>
    <m/>
    <m/>
    <m/>
    <m/>
    <m/>
    <m/>
    <m/>
    <m/>
    <m/>
  </r>
  <r>
    <x v="2"/>
    <s v="Agent_3"/>
    <s v="Tuesday"/>
    <s v="Morning"/>
    <s v="6+ months"/>
    <x v="46"/>
    <n v="4.42"/>
    <n v="0.14000000000000001"/>
    <n v="0.86"/>
    <n v="4.62"/>
    <n v="0"/>
    <n v="21.63"/>
    <s v="Low"/>
    <m/>
    <m/>
    <m/>
    <m/>
    <m/>
    <m/>
    <m/>
    <m/>
    <m/>
    <m/>
    <m/>
    <m/>
    <m/>
  </r>
  <r>
    <x v="2"/>
    <s v="Agent_3"/>
    <s v="Tuesday"/>
    <s v="Afternoon"/>
    <s v="6+ months"/>
    <x v="6"/>
    <n v="6.14"/>
    <n v="0.11"/>
    <n v="0.77"/>
    <n v="4"/>
    <n v="0"/>
    <n v="24.21"/>
    <s v="Low"/>
    <m/>
    <m/>
    <m/>
    <m/>
    <m/>
    <m/>
    <m/>
    <m/>
    <m/>
    <m/>
    <m/>
    <m/>
    <m/>
  </r>
  <r>
    <x v="2"/>
    <s v="Agent_3"/>
    <s v="Tuesday"/>
    <s v="Evening"/>
    <s v="3-6 months"/>
    <x v="36"/>
    <n v="5.39"/>
    <n v="0.1"/>
    <n v="0.74"/>
    <n v="4.67"/>
    <n v="0"/>
    <n v="23.08"/>
    <s v="Low"/>
    <m/>
    <m/>
    <m/>
    <m/>
    <m/>
    <m/>
    <m/>
    <m/>
    <m/>
    <m/>
    <m/>
    <m/>
    <m/>
  </r>
  <r>
    <x v="2"/>
    <s v="Agent_3"/>
    <s v="Wednesday"/>
    <s v="Morning"/>
    <s v="3-6 months"/>
    <x v="23"/>
    <n v="6.17"/>
    <n v="0.11"/>
    <n v="0.8"/>
    <n v="4.2699999999999996"/>
    <n v="0"/>
    <n v="24.26"/>
    <s v="Low"/>
    <m/>
    <m/>
    <m/>
    <m/>
    <m/>
    <m/>
    <m/>
    <m/>
    <m/>
    <m/>
    <m/>
    <m/>
    <m/>
  </r>
  <r>
    <x v="2"/>
    <s v="Agent_3"/>
    <s v="Wednesday"/>
    <s v="Afternoon"/>
    <s v="3-6 months"/>
    <x v="43"/>
    <n v="6.44"/>
    <n v="0.1"/>
    <n v="0.88"/>
    <n v="4.4400000000000004"/>
    <n v="0"/>
    <n v="24.66"/>
    <s v="Low"/>
    <m/>
    <m/>
    <m/>
    <m/>
    <m/>
    <m/>
    <m/>
    <m/>
    <m/>
    <m/>
    <m/>
    <m/>
    <m/>
  </r>
  <r>
    <x v="2"/>
    <s v="Agent_3"/>
    <s v="Wednesday"/>
    <s v="Evening"/>
    <s v="6+ months"/>
    <x v="24"/>
    <n v="6.56"/>
    <n v="0.09"/>
    <n v="0.71"/>
    <n v="3.61"/>
    <n v="0"/>
    <n v="24.84"/>
    <s v="Low"/>
    <m/>
    <m/>
    <m/>
    <m/>
    <m/>
    <m/>
    <m/>
    <m/>
    <m/>
    <m/>
    <m/>
    <m/>
    <m/>
  </r>
  <r>
    <x v="2"/>
    <s v="Agent_3"/>
    <s v="Thursday"/>
    <s v="Morning"/>
    <s v="6+ months"/>
    <x v="17"/>
    <n v="6.92"/>
    <n v="0.05"/>
    <n v="0.82"/>
    <n v="4.5599999999999996"/>
    <n v="0"/>
    <n v="25.38"/>
    <s v="Low"/>
    <m/>
    <m/>
    <m/>
    <m/>
    <m/>
    <m/>
    <m/>
    <m/>
    <m/>
    <m/>
    <m/>
    <m/>
    <m/>
  </r>
  <r>
    <x v="2"/>
    <s v="Agent_3"/>
    <s v="Thursday"/>
    <s v="Afternoon"/>
    <s v="3-6 months"/>
    <x v="39"/>
    <n v="7.84"/>
    <n v="0.06"/>
    <n v="0.8"/>
    <n v="4.53"/>
    <n v="0"/>
    <n v="26.76"/>
    <s v="Low"/>
    <m/>
    <m/>
    <m/>
    <m/>
    <m/>
    <m/>
    <m/>
    <m/>
    <m/>
    <m/>
    <m/>
    <m/>
    <m/>
  </r>
  <r>
    <x v="2"/>
    <s v="Agent_3"/>
    <s v="Thursday"/>
    <s v="Evening"/>
    <s v="6+ months"/>
    <x v="4"/>
    <n v="5.25"/>
    <n v="0.08"/>
    <n v="0.74"/>
    <n v="4.49"/>
    <n v="0"/>
    <n v="22.88"/>
    <s v="Low"/>
    <m/>
    <m/>
    <m/>
    <m/>
    <m/>
    <m/>
    <m/>
    <m/>
    <m/>
    <m/>
    <m/>
    <m/>
    <m/>
  </r>
  <r>
    <x v="2"/>
    <s v="Agent_3"/>
    <s v="Friday"/>
    <s v="Morning"/>
    <s v="6+ months"/>
    <x v="13"/>
    <n v="7.3"/>
    <n v="0.11"/>
    <n v="0.85"/>
    <n v="3.99"/>
    <n v="0"/>
    <n v="25.95"/>
    <s v="Low"/>
    <m/>
    <m/>
    <m/>
    <m/>
    <m/>
    <m/>
    <m/>
    <m/>
    <m/>
    <m/>
    <m/>
    <m/>
    <m/>
  </r>
  <r>
    <x v="2"/>
    <s v="Agent_3"/>
    <s v="Friday"/>
    <s v="Afternoon"/>
    <s v="3-6 months"/>
    <x v="19"/>
    <n v="4.34"/>
    <n v="0.03"/>
    <n v="0.86"/>
    <n v="4.7300000000000004"/>
    <n v="0"/>
    <n v="21.51"/>
    <s v="Low"/>
    <m/>
    <m/>
    <m/>
    <m/>
    <m/>
    <m/>
    <m/>
    <m/>
    <m/>
    <m/>
    <m/>
    <m/>
    <m/>
  </r>
  <r>
    <x v="2"/>
    <s v="Agent_3"/>
    <s v="Friday"/>
    <s v="Evening"/>
    <s v="3-6 months"/>
    <x v="35"/>
    <n v="4.59"/>
    <n v="0.03"/>
    <n v="0.7"/>
    <n v="3.9"/>
    <n v="1"/>
    <n v="23.88"/>
    <s v="Low"/>
    <m/>
    <m/>
    <m/>
    <m/>
    <m/>
    <m/>
    <m/>
    <m/>
    <m/>
    <m/>
    <m/>
    <m/>
    <m/>
  </r>
  <r>
    <x v="2"/>
    <s v="Agent_4"/>
    <s v="Monday"/>
    <s v="Morning"/>
    <s v="3-6 months"/>
    <x v="20"/>
    <n v="7.21"/>
    <n v="0.13"/>
    <n v="0.84"/>
    <n v="4.2300000000000004"/>
    <n v="0"/>
    <n v="25.82"/>
    <s v="Low"/>
    <m/>
    <m/>
    <m/>
    <m/>
    <m/>
    <m/>
    <m/>
    <m/>
    <m/>
    <m/>
    <m/>
    <m/>
    <m/>
  </r>
  <r>
    <x v="2"/>
    <s v="Agent_4"/>
    <s v="Monday"/>
    <s v="Afternoon"/>
    <s v="0-3 months"/>
    <x v="33"/>
    <n v="5.53"/>
    <n v="0.18"/>
    <n v="0.89"/>
    <n v="4"/>
    <n v="0"/>
    <n v="23.3"/>
    <s v="Low"/>
    <m/>
    <m/>
    <m/>
    <m/>
    <m/>
    <m/>
    <m/>
    <m/>
    <m/>
    <m/>
    <m/>
    <m/>
    <m/>
  </r>
  <r>
    <x v="2"/>
    <s v="Agent_4"/>
    <s v="Monday"/>
    <s v="Evening"/>
    <s v="0-3 months"/>
    <x v="49"/>
    <n v="5.99"/>
    <n v="0.09"/>
    <n v="0.61"/>
    <n v="4.4800000000000004"/>
    <n v="0"/>
    <n v="23.98"/>
    <s v="Low"/>
    <m/>
    <m/>
    <m/>
    <m/>
    <m/>
    <m/>
    <m/>
    <m/>
    <m/>
    <m/>
    <m/>
    <m/>
    <m/>
  </r>
  <r>
    <x v="2"/>
    <s v="Agent_4"/>
    <s v="Tuesday"/>
    <s v="Morning"/>
    <s v="0-3 months"/>
    <x v="27"/>
    <n v="5.59"/>
    <n v="0.14000000000000001"/>
    <n v="0.82"/>
    <n v="4.08"/>
    <n v="3"/>
    <n v="29.38"/>
    <s v="High"/>
    <m/>
    <m/>
    <m/>
    <m/>
    <m/>
    <m/>
    <m/>
    <m/>
    <m/>
    <m/>
    <m/>
    <m/>
    <m/>
  </r>
  <r>
    <x v="2"/>
    <s v="Agent_4"/>
    <s v="Tuesday"/>
    <s v="Afternoon"/>
    <s v="3-6 months"/>
    <x v="0"/>
    <n v="7.07"/>
    <n v="0.06"/>
    <n v="0.89"/>
    <n v="4.01"/>
    <n v="0"/>
    <n v="25.6"/>
    <s v="Low"/>
    <m/>
    <m/>
    <m/>
    <m/>
    <m/>
    <m/>
    <m/>
    <m/>
    <m/>
    <m/>
    <m/>
    <m/>
    <m/>
  </r>
  <r>
    <x v="2"/>
    <s v="Agent_4"/>
    <s v="Tuesday"/>
    <s v="Evening"/>
    <s v="3-6 months"/>
    <x v="19"/>
    <n v="5.98"/>
    <n v="0.09"/>
    <n v="0.64"/>
    <n v="3.82"/>
    <n v="2"/>
    <n v="27.97"/>
    <s v="High"/>
    <m/>
    <m/>
    <m/>
    <m/>
    <m/>
    <m/>
    <m/>
    <m/>
    <m/>
    <m/>
    <m/>
    <m/>
    <m/>
  </r>
  <r>
    <x v="2"/>
    <s v="Agent_4"/>
    <s v="Wednesday"/>
    <s v="Morning"/>
    <s v="3-6 months"/>
    <x v="20"/>
    <n v="6.4"/>
    <n v="0.05"/>
    <n v="0.78"/>
    <n v="3.57"/>
    <n v="0"/>
    <n v="24.6"/>
    <s v="Low"/>
    <m/>
    <m/>
    <m/>
    <m/>
    <m/>
    <m/>
    <m/>
    <m/>
    <m/>
    <m/>
    <m/>
    <m/>
    <m/>
  </r>
  <r>
    <x v="2"/>
    <s v="Agent_4"/>
    <s v="Wednesday"/>
    <s v="Afternoon"/>
    <s v="0-3 months"/>
    <x v="30"/>
    <n v="6.17"/>
    <n v="0.09"/>
    <n v="0.84"/>
    <n v="4.8"/>
    <n v="0"/>
    <n v="24.26"/>
    <s v="Low"/>
    <m/>
    <m/>
    <m/>
    <m/>
    <m/>
    <m/>
    <m/>
    <m/>
    <m/>
    <m/>
    <m/>
    <m/>
    <m/>
  </r>
  <r>
    <x v="2"/>
    <s v="Agent_4"/>
    <s v="Wednesday"/>
    <s v="Evening"/>
    <s v="6+ months"/>
    <x v="34"/>
    <n v="7.26"/>
    <n v="7.0000000000000007E-2"/>
    <n v="0.85"/>
    <n v="4.6399999999999997"/>
    <n v="1"/>
    <n v="27.89"/>
    <s v="High"/>
    <m/>
    <m/>
    <m/>
    <m/>
    <m/>
    <m/>
    <m/>
    <m/>
    <m/>
    <m/>
    <m/>
    <m/>
    <m/>
  </r>
  <r>
    <x v="2"/>
    <s v="Agent_4"/>
    <s v="Thursday"/>
    <s v="Morning"/>
    <s v="3-6 months"/>
    <x v="36"/>
    <n v="5.55"/>
    <n v="0.03"/>
    <n v="0.82"/>
    <n v="4.21"/>
    <n v="0"/>
    <n v="23.32"/>
    <s v="Low"/>
    <m/>
    <m/>
    <m/>
    <m/>
    <m/>
    <m/>
    <m/>
    <m/>
    <m/>
    <m/>
    <m/>
    <m/>
    <m/>
  </r>
  <r>
    <x v="2"/>
    <s v="Agent_4"/>
    <s v="Thursday"/>
    <s v="Afternoon"/>
    <s v="6+ months"/>
    <x v="20"/>
    <n v="4.72"/>
    <n v="0.11"/>
    <n v="0.83"/>
    <n v="4.63"/>
    <n v="0"/>
    <n v="22.08"/>
    <s v="Low"/>
    <m/>
    <m/>
    <m/>
    <m/>
    <m/>
    <m/>
    <m/>
    <m/>
    <m/>
    <m/>
    <m/>
    <m/>
    <m/>
  </r>
  <r>
    <x v="2"/>
    <s v="Agent_4"/>
    <s v="Thursday"/>
    <s v="Evening"/>
    <s v="6+ months"/>
    <x v="15"/>
    <n v="6.16"/>
    <n v="0.08"/>
    <n v="0.61"/>
    <n v="4.76"/>
    <n v="2"/>
    <n v="28.24"/>
    <s v="High"/>
    <m/>
    <m/>
    <m/>
    <m/>
    <m/>
    <m/>
    <m/>
    <m/>
    <m/>
    <m/>
    <m/>
    <m/>
    <m/>
  </r>
  <r>
    <x v="2"/>
    <s v="Agent_4"/>
    <s v="Friday"/>
    <s v="Morning"/>
    <s v="3-6 months"/>
    <x v="30"/>
    <n v="5.61"/>
    <n v="0.08"/>
    <n v="0.88"/>
    <n v="4.2699999999999996"/>
    <n v="0"/>
    <n v="23.42"/>
    <s v="Low"/>
    <m/>
    <m/>
    <m/>
    <m/>
    <m/>
    <m/>
    <m/>
    <m/>
    <m/>
    <m/>
    <m/>
    <m/>
    <m/>
  </r>
  <r>
    <x v="2"/>
    <s v="Agent_4"/>
    <s v="Friday"/>
    <s v="Afternoon"/>
    <s v="0-3 months"/>
    <x v="25"/>
    <n v="4.1900000000000004"/>
    <n v="0.2"/>
    <n v="0.89"/>
    <n v="3.97"/>
    <n v="1"/>
    <n v="23.28"/>
    <s v="Low"/>
    <m/>
    <m/>
    <m/>
    <m/>
    <m/>
    <m/>
    <m/>
    <m/>
    <m/>
    <m/>
    <m/>
    <m/>
    <m/>
  </r>
  <r>
    <x v="2"/>
    <s v="Agent_4"/>
    <s v="Friday"/>
    <s v="Evening"/>
    <s v="6+ months"/>
    <x v="49"/>
    <n v="7.94"/>
    <n v="7.0000000000000007E-2"/>
    <n v="0.81"/>
    <n v="4.49"/>
    <n v="0"/>
    <n v="26.91"/>
    <s v="Low"/>
    <m/>
    <m/>
    <m/>
    <m/>
    <m/>
    <m/>
    <m/>
    <m/>
    <m/>
    <m/>
    <m/>
    <m/>
    <m/>
  </r>
  <r>
    <x v="2"/>
    <s v="Agent_5"/>
    <s v="Monday"/>
    <s v="Morning"/>
    <s v="6+ months"/>
    <x v="7"/>
    <n v="4.9800000000000004"/>
    <n v="0.06"/>
    <n v="0.79"/>
    <n v="3.54"/>
    <n v="3"/>
    <n v="28.47"/>
    <s v="High"/>
    <m/>
    <m/>
    <m/>
    <m/>
    <m/>
    <m/>
    <m/>
    <m/>
    <m/>
    <m/>
    <m/>
    <m/>
    <m/>
  </r>
  <r>
    <x v="2"/>
    <s v="Agent_5"/>
    <s v="Monday"/>
    <s v="Afternoon"/>
    <s v="0-3 months"/>
    <x v="3"/>
    <n v="5.21"/>
    <n v="0.24"/>
    <n v="0.89"/>
    <n v="3.54"/>
    <n v="2"/>
    <n v="26.82"/>
    <s v="Low"/>
    <m/>
    <m/>
    <m/>
    <m/>
    <m/>
    <m/>
    <m/>
    <m/>
    <m/>
    <m/>
    <m/>
    <m/>
    <m/>
  </r>
  <r>
    <x v="2"/>
    <s v="Agent_5"/>
    <s v="Monday"/>
    <s v="Evening"/>
    <s v="3-6 months"/>
    <x v="2"/>
    <n v="7.15"/>
    <n v="0.06"/>
    <n v="0.65"/>
    <n v="4.74"/>
    <n v="0"/>
    <n v="25.72"/>
    <s v="Low"/>
    <m/>
    <m/>
    <m/>
    <m/>
    <m/>
    <m/>
    <m/>
    <m/>
    <m/>
    <m/>
    <m/>
    <m/>
    <m/>
  </r>
  <r>
    <x v="2"/>
    <s v="Agent_5"/>
    <s v="Tuesday"/>
    <s v="Morning"/>
    <s v="6+ months"/>
    <x v="11"/>
    <n v="5.47"/>
    <n v="0.15"/>
    <n v="0.76"/>
    <n v="3.5"/>
    <n v="0"/>
    <n v="23.2"/>
    <s v="Low"/>
    <m/>
    <m/>
    <m/>
    <m/>
    <m/>
    <m/>
    <m/>
    <m/>
    <m/>
    <m/>
    <m/>
    <m/>
    <m/>
  </r>
  <r>
    <x v="2"/>
    <s v="Agent_5"/>
    <s v="Tuesday"/>
    <s v="Afternoon"/>
    <s v="3-6 months"/>
    <x v="27"/>
    <n v="5.36"/>
    <n v="0.12"/>
    <n v="0.87"/>
    <n v="4.3600000000000003"/>
    <n v="1"/>
    <n v="25.04"/>
    <s v="Low"/>
    <m/>
    <m/>
    <m/>
    <m/>
    <m/>
    <m/>
    <m/>
    <m/>
    <m/>
    <m/>
    <m/>
    <m/>
    <m/>
  </r>
  <r>
    <x v="2"/>
    <s v="Agent_5"/>
    <s v="Tuesday"/>
    <s v="Evening"/>
    <s v="6+ months"/>
    <x v="44"/>
    <n v="6.43"/>
    <n v="0.03"/>
    <n v="0.7"/>
    <n v="4.4400000000000004"/>
    <n v="0"/>
    <n v="24.64"/>
    <s v="Low"/>
    <m/>
    <m/>
    <m/>
    <m/>
    <m/>
    <m/>
    <m/>
    <m/>
    <m/>
    <m/>
    <m/>
    <m/>
    <m/>
  </r>
  <r>
    <x v="2"/>
    <s v="Agent_5"/>
    <s v="Wednesday"/>
    <s v="Morning"/>
    <s v="3-6 months"/>
    <x v="38"/>
    <n v="5.81"/>
    <n v="0.03"/>
    <n v="0.87"/>
    <n v="4.7300000000000004"/>
    <n v="0"/>
    <n v="23.72"/>
    <s v="Low"/>
    <m/>
    <m/>
    <m/>
    <m/>
    <m/>
    <m/>
    <m/>
    <m/>
    <m/>
    <m/>
    <m/>
    <m/>
    <m/>
  </r>
  <r>
    <x v="2"/>
    <s v="Agent_5"/>
    <s v="Wednesday"/>
    <s v="Afternoon"/>
    <s v="6+ months"/>
    <x v="24"/>
    <n v="5.45"/>
    <n v="0.06"/>
    <n v="0.76"/>
    <n v="4.1500000000000004"/>
    <n v="1"/>
    <n v="25.18"/>
    <s v="Low"/>
    <m/>
    <m/>
    <m/>
    <m/>
    <m/>
    <m/>
    <m/>
    <m/>
    <m/>
    <m/>
    <m/>
    <m/>
    <m/>
  </r>
  <r>
    <x v="2"/>
    <s v="Agent_5"/>
    <s v="Wednesday"/>
    <s v="Evening"/>
    <s v="6+ months"/>
    <x v="44"/>
    <n v="5.84"/>
    <n v="0.06"/>
    <n v="0.66"/>
    <n v="3.87"/>
    <n v="2"/>
    <n v="27.76"/>
    <s v="High"/>
    <m/>
    <m/>
    <m/>
    <m/>
    <m/>
    <m/>
    <m/>
    <m/>
    <m/>
    <m/>
    <m/>
    <m/>
    <m/>
  </r>
  <r>
    <x v="2"/>
    <s v="Agent_5"/>
    <s v="Thursday"/>
    <s v="Morning"/>
    <s v="6+ months"/>
    <x v="49"/>
    <n v="5.29"/>
    <n v="0.02"/>
    <n v="0.84"/>
    <n v="4.59"/>
    <n v="0"/>
    <n v="22.94"/>
    <s v="Low"/>
    <m/>
    <m/>
    <m/>
    <m/>
    <m/>
    <m/>
    <m/>
    <m/>
    <m/>
    <m/>
    <m/>
    <m/>
    <m/>
  </r>
  <r>
    <x v="2"/>
    <s v="Agent_5"/>
    <s v="Thursday"/>
    <s v="Afternoon"/>
    <s v="0-3 months"/>
    <x v="14"/>
    <n v="4.3499999999999996"/>
    <n v="0.21"/>
    <n v="0.77"/>
    <n v="4.66"/>
    <n v="0"/>
    <n v="21.52"/>
    <s v="Low"/>
    <m/>
    <m/>
    <m/>
    <m/>
    <m/>
    <m/>
    <m/>
    <m/>
    <m/>
    <m/>
    <m/>
    <m/>
    <m/>
  </r>
  <r>
    <x v="2"/>
    <s v="Agent_5"/>
    <s v="Thursday"/>
    <s v="Evening"/>
    <s v="3-6 months"/>
    <x v="37"/>
    <n v="7.2"/>
    <n v="0.13"/>
    <n v="0.74"/>
    <n v="4.33"/>
    <n v="0"/>
    <n v="25.8"/>
    <s v="Low"/>
    <m/>
    <m/>
    <m/>
    <m/>
    <m/>
    <m/>
    <m/>
    <m/>
    <m/>
    <m/>
    <m/>
    <m/>
    <m/>
  </r>
  <r>
    <x v="2"/>
    <s v="Agent_5"/>
    <s v="Friday"/>
    <s v="Morning"/>
    <s v="3-6 months"/>
    <x v="28"/>
    <n v="6.48"/>
    <n v="0.09"/>
    <n v="0.83"/>
    <n v="3.69"/>
    <n v="1"/>
    <n v="26.72"/>
    <s v="Low"/>
    <m/>
    <m/>
    <m/>
    <m/>
    <m/>
    <m/>
    <m/>
    <m/>
    <m/>
    <m/>
    <m/>
    <m/>
    <m/>
  </r>
  <r>
    <x v="2"/>
    <s v="Agent_5"/>
    <s v="Friday"/>
    <s v="Afternoon"/>
    <s v="0-3 months"/>
    <x v="38"/>
    <n v="6.51"/>
    <n v="0.12"/>
    <n v="0.77"/>
    <n v="4.32"/>
    <n v="0"/>
    <n v="24.76"/>
    <s v="Low"/>
    <m/>
    <m/>
    <m/>
    <m/>
    <m/>
    <m/>
    <m/>
    <m/>
    <m/>
    <m/>
    <m/>
    <m/>
    <m/>
  </r>
  <r>
    <x v="2"/>
    <s v="Agent_5"/>
    <s v="Friday"/>
    <s v="Evening"/>
    <s v="6+ months"/>
    <x v="45"/>
    <n v="6.71"/>
    <n v="0.1"/>
    <n v="0.82"/>
    <n v="4.26"/>
    <n v="0"/>
    <n v="25.06"/>
    <s v="Low"/>
    <m/>
    <m/>
    <m/>
    <m/>
    <m/>
    <m/>
    <m/>
    <m/>
    <m/>
    <m/>
    <m/>
    <m/>
    <m/>
  </r>
  <r>
    <x v="2"/>
    <s v="Agent_6"/>
    <s v="Monday"/>
    <s v="Morning"/>
    <s v="3-6 months"/>
    <x v="30"/>
    <n v="6.93"/>
    <n v="0.12"/>
    <n v="0.8"/>
    <n v="3.63"/>
    <n v="0"/>
    <n v="25.4"/>
    <s v="Low"/>
    <m/>
    <m/>
    <m/>
    <m/>
    <m/>
    <m/>
    <m/>
    <m/>
    <m/>
    <m/>
    <m/>
    <m/>
    <m/>
  </r>
  <r>
    <x v="2"/>
    <s v="Agent_6"/>
    <s v="Monday"/>
    <s v="Afternoon"/>
    <s v="0-3 months"/>
    <x v="49"/>
    <n v="6.21"/>
    <n v="0.28000000000000003"/>
    <n v="0.89"/>
    <n v="4.05"/>
    <n v="0"/>
    <n v="24.32"/>
    <s v="Low"/>
    <m/>
    <m/>
    <m/>
    <m/>
    <m/>
    <m/>
    <m/>
    <m/>
    <m/>
    <m/>
    <m/>
    <m/>
    <m/>
  </r>
  <r>
    <x v="2"/>
    <s v="Agent_6"/>
    <s v="Monday"/>
    <s v="Evening"/>
    <s v="6+ months"/>
    <x v="27"/>
    <n v="7.06"/>
    <n v="0.04"/>
    <n v="0.61"/>
    <n v="4.2300000000000004"/>
    <n v="2"/>
    <n v="29.59"/>
    <s v="High"/>
    <m/>
    <m/>
    <m/>
    <m/>
    <m/>
    <m/>
    <m/>
    <m/>
    <m/>
    <m/>
    <m/>
    <m/>
    <m/>
  </r>
  <r>
    <x v="2"/>
    <s v="Agent_6"/>
    <s v="Tuesday"/>
    <s v="Morning"/>
    <s v="6+ months"/>
    <x v="37"/>
    <n v="5.59"/>
    <n v="0.13"/>
    <n v="0.78"/>
    <n v="3.86"/>
    <n v="0"/>
    <n v="23.38"/>
    <s v="Low"/>
    <m/>
    <m/>
    <m/>
    <m/>
    <m/>
    <m/>
    <m/>
    <m/>
    <m/>
    <m/>
    <m/>
    <m/>
    <m/>
  </r>
  <r>
    <x v="2"/>
    <s v="Agent_6"/>
    <s v="Tuesday"/>
    <s v="Afternoon"/>
    <s v="3-6 months"/>
    <x v="16"/>
    <n v="5.39"/>
    <n v="0.06"/>
    <n v="0.77"/>
    <n v="4.5199999999999996"/>
    <n v="1"/>
    <n v="25.08"/>
    <s v="Low"/>
    <m/>
    <m/>
    <m/>
    <m/>
    <m/>
    <m/>
    <m/>
    <m/>
    <m/>
    <m/>
    <m/>
    <m/>
    <m/>
  </r>
  <r>
    <x v="2"/>
    <s v="Agent_6"/>
    <s v="Tuesday"/>
    <s v="Evening"/>
    <s v="0-3 months"/>
    <x v="27"/>
    <n v="3.57"/>
    <n v="0.27"/>
    <n v="0.72"/>
    <n v="3.64"/>
    <n v="1"/>
    <n v="22.36"/>
    <s v="Low"/>
    <m/>
    <m/>
    <m/>
    <m/>
    <m/>
    <m/>
    <m/>
    <m/>
    <m/>
    <m/>
    <m/>
    <m/>
    <m/>
  </r>
  <r>
    <x v="2"/>
    <s v="Agent_6"/>
    <s v="Wednesday"/>
    <s v="Morning"/>
    <s v="6+ months"/>
    <x v="23"/>
    <n v="5.97"/>
    <n v="0.03"/>
    <n v="0.87"/>
    <n v="4.04"/>
    <n v="2"/>
    <n v="27.96"/>
    <s v="High"/>
    <m/>
    <m/>
    <m/>
    <m/>
    <m/>
    <m/>
    <m/>
    <m/>
    <m/>
    <m/>
    <m/>
    <m/>
    <m/>
  </r>
  <r>
    <x v="2"/>
    <s v="Agent_6"/>
    <s v="Wednesday"/>
    <s v="Afternoon"/>
    <s v="6+ months"/>
    <x v="3"/>
    <n v="6.93"/>
    <n v="0.11"/>
    <n v="0.85"/>
    <n v="4.54"/>
    <n v="1"/>
    <n v="27.4"/>
    <s v="Low"/>
    <m/>
    <m/>
    <m/>
    <m/>
    <m/>
    <m/>
    <m/>
    <m/>
    <m/>
    <m/>
    <m/>
    <m/>
    <m/>
  </r>
  <r>
    <x v="2"/>
    <s v="Agent_6"/>
    <s v="Wednesday"/>
    <s v="Evening"/>
    <s v="0-3 months"/>
    <x v="43"/>
    <n v="5.67"/>
    <n v="0.08"/>
    <n v="0.76"/>
    <n v="4.46"/>
    <n v="0"/>
    <n v="23.5"/>
    <s v="Low"/>
    <m/>
    <m/>
    <m/>
    <m/>
    <m/>
    <m/>
    <m/>
    <m/>
    <m/>
    <m/>
    <m/>
    <m/>
    <m/>
  </r>
  <r>
    <x v="2"/>
    <s v="Agent_6"/>
    <s v="Thursday"/>
    <s v="Morning"/>
    <s v="3-6 months"/>
    <x v="2"/>
    <n v="5.66"/>
    <n v="0.1"/>
    <n v="0.76"/>
    <n v="3.56"/>
    <n v="1"/>
    <n v="25.49"/>
    <s v="Low"/>
    <m/>
    <m/>
    <m/>
    <m/>
    <m/>
    <m/>
    <m/>
    <m/>
    <m/>
    <m/>
    <m/>
    <m/>
    <m/>
  </r>
  <r>
    <x v="2"/>
    <s v="Agent_6"/>
    <s v="Thursday"/>
    <s v="Afternoon"/>
    <s v="6+ months"/>
    <x v="37"/>
    <n v="7.96"/>
    <n v="0.09"/>
    <n v="0.76"/>
    <n v="4.3899999999999997"/>
    <n v="0"/>
    <n v="26.94"/>
    <s v="Low"/>
    <m/>
    <m/>
    <m/>
    <m/>
    <m/>
    <m/>
    <m/>
    <m/>
    <m/>
    <m/>
    <m/>
    <m/>
    <m/>
  </r>
  <r>
    <x v="2"/>
    <s v="Agent_6"/>
    <s v="Thursday"/>
    <s v="Evening"/>
    <s v="6+ months"/>
    <x v="44"/>
    <n v="5.78"/>
    <n v="7.0000000000000007E-2"/>
    <n v="0.73"/>
    <n v="4.2699999999999996"/>
    <n v="0"/>
    <n v="23.67"/>
    <s v="Low"/>
    <m/>
    <m/>
    <m/>
    <m/>
    <m/>
    <m/>
    <m/>
    <m/>
    <m/>
    <m/>
    <m/>
    <m/>
    <m/>
  </r>
  <r>
    <x v="2"/>
    <s v="Agent_6"/>
    <s v="Friday"/>
    <s v="Morning"/>
    <s v="3-6 months"/>
    <x v="34"/>
    <n v="3.36"/>
    <n v="0.03"/>
    <n v="0.81"/>
    <n v="4.49"/>
    <n v="0"/>
    <n v="20.04"/>
    <s v="Low"/>
    <m/>
    <m/>
    <m/>
    <m/>
    <m/>
    <m/>
    <m/>
    <m/>
    <m/>
    <m/>
    <m/>
    <m/>
    <m/>
  </r>
  <r>
    <x v="2"/>
    <s v="Agent_6"/>
    <s v="Friday"/>
    <s v="Afternoon"/>
    <s v="0-3 months"/>
    <x v="26"/>
    <n v="6.44"/>
    <n v="0.08"/>
    <n v="0.75"/>
    <n v="4.5"/>
    <n v="2"/>
    <n v="28.66"/>
    <s v="High"/>
    <m/>
    <m/>
    <m/>
    <m/>
    <m/>
    <m/>
    <m/>
    <m/>
    <m/>
    <m/>
    <m/>
    <m/>
    <m/>
  </r>
  <r>
    <x v="2"/>
    <s v="Agent_6"/>
    <s v="Friday"/>
    <s v="Evening"/>
    <s v="0-3 months"/>
    <x v="42"/>
    <n v="6.02"/>
    <n v="0.16"/>
    <n v="0.68"/>
    <n v="3.94"/>
    <n v="1"/>
    <n v="26.03"/>
    <s v="Low"/>
    <m/>
    <m/>
    <m/>
    <m/>
    <m/>
    <m/>
    <m/>
    <m/>
    <m/>
    <m/>
    <m/>
    <m/>
    <m/>
  </r>
  <r>
    <x v="2"/>
    <s v="Agent_7"/>
    <s v="Monday"/>
    <s v="Morning"/>
    <s v="0-3 months"/>
    <x v="32"/>
    <n v="6.16"/>
    <n v="0.26"/>
    <n v="0.75"/>
    <n v="4.67"/>
    <n v="1"/>
    <n v="26.24"/>
    <s v="Low"/>
    <m/>
    <m/>
    <m/>
    <m/>
    <m/>
    <m/>
    <m/>
    <m/>
    <m/>
    <m/>
    <m/>
    <m/>
    <m/>
  </r>
  <r>
    <x v="2"/>
    <s v="Agent_7"/>
    <s v="Monday"/>
    <s v="Afternoon"/>
    <s v="6+ months"/>
    <x v="11"/>
    <n v="6.05"/>
    <n v="0.05"/>
    <n v="0.77"/>
    <n v="4.67"/>
    <n v="1"/>
    <n v="26.08"/>
    <s v="Low"/>
    <m/>
    <m/>
    <m/>
    <m/>
    <m/>
    <m/>
    <m/>
    <m/>
    <m/>
    <m/>
    <m/>
    <m/>
    <m/>
  </r>
  <r>
    <x v="2"/>
    <s v="Agent_7"/>
    <s v="Monday"/>
    <s v="Evening"/>
    <s v="6+ months"/>
    <x v="20"/>
    <n v="7.67"/>
    <n v="0.08"/>
    <n v="0.61"/>
    <n v="4.75"/>
    <n v="2"/>
    <n v="30.5"/>
    <s v="High"/>
    <m/>
    <m/>
    <m/>
    <m/>
    <m/>
    <m/>
    <m/>
    <m/>
    <m/>
    <m/>
    <m/>
    <m/>
    <m/>
  </r>
  <r>
    <x v="2"/>
    <s v="Agent_7"/>
    <s v="Tuesday"/>
    <s v="Morning"/>
    <s v="6+ months"/>
    <x v="13"/>
    <n v="5.89"/>
    <n v="0.1"/>
    <n v="0.85"/>
    <n v="4.2300000000000004"/>
    <n v="1"/>
    <n v="25.84"/>
    <s v="Low"/>
    <m/>
    <m/>
    <m/>
    <m/>
    <m/>
    <m/>
    <m/>
    <m/>
    <m/>
    <m/>
    <m/>
    <m/>
    <m/>
  </r>
  <r>
    <x v="2"/>
    <s v="Agent_7"/>
    <s v="Tuesday"/>
    <s v="Afternoon"/>
    <s v="0-3 months"/>
    <x v="5"/>
    <n v="5.62"/>
    <n v="0.21"/>
    <n v="0.87"/>
    <n v="4.25"/>
    <n v="0"/>
    <n v="23.43"/>
    <s v="Low"/>
    <m/>
    <m/>
    <m/>
    <m/>
    <m/>
    <m/>
    <m/>
    <m/>
    <m/>
    <m/>
    <m/>
    <m/>
    <m/>
  </r>
  <r>
    <x v="2"/>
    <s v="Agent_7"/>
    <s v="Tuesday"/>
    <s v="Evening"/>
    <s v="6+ months"/>
    <x v="1"/>
    <n v="5.68"/>
    <n v="0.14000000000000001"/>
    <n v="0.64"/>
    <n v="4.34"/>
    <n v="2"/>
    <n v="27.52"/>
    <s v="Low"/>
    <m/>
    <m/>
    <m/>
    <m/>
    <m/>
    <m/>
    <m/>
    <m/>
    <m/>
    <m/>
    <m/>
    <m/>
    <m/>
  </r>
  <r>
    <x v="2"/>
    <s v="Agent_7"/>
    <s v="Wednesday"/>
    <s v="Morning"/>
    <s v="6+ months"/>
    <x v="24"/>
    <n v="5.74"/>
    <n v="0.14000000000000001"/>
    <n v="0.86"/>
    <n v="3.58"/>
    <n v="0"/>
    <n v="23.61"/>
    <s v="Low"/>
    <m/>
    <m/>
    <m/>
    <m/>
    <m/>
    <m/>
    <m/>
    <m/>
    <m/>
    <m/>
    <m/>
    <m/>
    <m/>
  </r>
  <r>
    <x v="2"/>
    <s v="Agent_7"/>
    <s v="Wednesday"/>
    <s v="Afternoon"/>
    <s v="0-3 months"/>
    <x v="23"/>
    <n v="4.16"/>
    <n v="0.16"/>
    <n v="0.77"/>
    <n v="4.75"/>
    <n v="0"/>
    <n v="21.24"/>
    <s v="Low"/>
    <m/>
    <m/>
    <m/>
    <m/>
    <m/>
    <m/>
    <m/>
    <m/>
    <m/>
    <m/>
    <m/>
    <m/>
    <m/>
  </r>
  <r>
    <x v="2"/>
    <s v="Agent_7"/>
    <s v="Wednesday"/>
    <s v="Evening"/>
    <s v="0-3 months"/>
    <x v="2"/>
    <n v="6.11"/>
    <n v="0.28000000000000003"/>
    <n v="0.79"/>
    <n v="4.21"/>
    <n v="0"/>
    <n v="24.16"/>
    <s v="Low"/>
    <m/>
    <m/>
    <m/>
    <m/>
    <m/>
    <m/>
    <m/>
    <m/>
    <m/>
    <m/>
    <m/>
    <m/>
    <m/>
  </r>
  <r>
    <x v="2"/>
    <s v="Agent_7"/>
    <s v="Thursday"/>
    <s v="Morning"/>
    <s v="3-6 months"/>
    <x v="4"/>
    <n v="6.41"/>
    <n v="0.04"/>
    <n v="0.82"/>
    <n v="3.77"/>
    <n v="0"/>
    <n v="24.62"/>
    <s v="Low"/>
    <m/>
    <m/>
    <m/>
    <m/>
    <m/>
    <m/>
    <m/>
    <m/>
    <m/>
    <m/>
    <m/>
    <m/>
    <m/>
  </r>
  <r>
    <x v="2"/>
    <s v="Agent_7"/>
    <s v="Thursday"/>
    <s v="Afternoon"/>
    <s v="6+ months"/>
    <x v="7"/>
    <n v="6.01"/>
    <n v="7.0000000000000007E-2"/>
    <n v="0.85"/>
    <n v="3.64"/>
    <n v="1"/>
    <n v="26.02"/>
    <s v="Low"/>
    <m/>
    <m/>
    <m/>
    <m/>
    <m/>
    <m/>
    <m/>
    <m/>
    <m/>
    <m/>
    <m/>
    <m/>
    <m/>
  </r>
  <r>
    <x v="2"/>
    <s v="Agent_7"/>
    <s v="Thursday"/>
    <s v="Evening"/>
    <s v="3-6 months"/>
    <x v="5"/>
    <n v="6.18"/>
    <n v="0.09"/>
    <n v="0.65"/>
    <n v="4.0999999999999996"/>
    <n v="2"/>
    <n v="28.27"/>
    <s v="High"/>
    <m/>
    <m/>
    <m/>
    <m/>
    <m/>
    <m/>
    <m/>
    <m/>
    <m/>
    <m/>
    <m/>
    <m/>
    <m/>
  </r>
  <r>
    <x v="2"/>
    <s v="Agent_7"/>
    <s v="Friday"/>
    <s v="Morning"/>
    <s v="0-3 months"/>
    <x v="24"/>
    <n v="6.16"/>
    <n v="0.1"/>
    <n v="0.87"/>
    <n v="4.68"/>
    <n v="2"/>
    <n v="28.24"/>
    <s v="High"/>
    <m/>
    <m/>
    <m/>
    <m/>
    <m/>
    <m/>
    <m/>
    <m/>
    <m/>
    <m/>
    <m/>
    <m/>
    <m/>
  </r>
  <r>
    <x v="2"/>
    <s v="Agent_7"/>
    <s v="Friday"/>
    <s v="Afternoon"/>
    <s v="6+ months"/>
    <x v="3"/>
    <n v="6.04"/>
    <n v="0.15"/>
    <n v="0.86"/>
    <n v="3.71"/>
    <n v="0"/>
    <n v="24.06"/>
    <s v="Low"/>
    <m/>
    <m/>
    <m/>
    <m/>
    <m/>
    <m/>
    <m/>
    <m/>
    <m/>
    <m/>
    <m/>
    <m/>
    <m/>
  </r>
  <r>
    <x v="2"/>
    <s v="Agent_7"/>
    <s v="Friday"/>
    <s v="Evening"/>
    <s v="6+ months"/>
    <x v="6"/>
    <n v="5.76"/>
    <n v="0.12"/>
    <n v="0.84"/>
    <n v="4.49"/>
    <n v="2"/>
    <n v="27.64"/>
    <s v="Low"/>
    <m/>
    <m/>
    <m/>
    <m/>
    <m/>
    <m/>
    <m/>
    <m/>
    <m/>
    <m/>
    <m/>
    <m/>
    <m/>
  </r>
  <r>
    <x v="2"/>
    <s v="Agent_8"/>
    <s v="Monday"/>
    <s v="Morning"/>
    <s v="3-6 months"/>
    <x v="27"/>
    <n v="4.45"/>
    <n v="0.02"/>
    <n v="0.8"/>
    <n v="4.7"/>
    <n v="0"/>
    <n v="21.68"/>
    <s v="Low"/>
    <m/>
    <m/>
    <m/>
    <m/>
    <m/>
    <m/>
    <m/>
    <m/>
    <m/>
    <m/>
    <m/>
    <m/>
    <m/>
  </r>
  <r>
    <x v="2"/>
    <s v="Agent_8"/>
    <s v="Monday"/>
    <s v="Afternoon"/>
    <s v="3-6 months"/>
    <x v="8"/>
    <n v="5.51"/>
    <n v="0.09"/>
    <n v="0.87"/>
    <n v="3.83"/>
    <n v="0"/>
    <n v="23.26"/>
    <s v="Low"/>
    <m/>
    <m/>
    <m/>
    <m/>
    <m/>
    <m/>
    <m/>
    <m/>
    <m/>
    <m/>
    <m/>
    <m/>
    <m/>
  </r>
  <r>
    <x v="2"/>
    <s v="Agent_8"/>
    <s v="Monday"/>
    <s v="Evening"/>
    <s v="3-6 months"/>
    <x v="30"/>
    <n v="6.47"/>
    <n v="0.11"/>
    <n v="0.63"/>
    <n v="3.88"/>
    <n v="0"/>
    <n v="24.7"/>
    <s v="Low"/>
    <m/>
    <m/>
    <m/>
    <m/>
    <m/>
    <m/>
    <m/>
    <m/>
    <m/>
    <m/>
    <m/>
    <m/>
    <m/>
  </r>
  <r>
    <x v="2"/>
    <s v="Agent_8"/>
    <s v="Tuesday"/>
    <s v="Morning"/>
    <s v="6+ months"/>
    <x v="9"/>
    <n v="4.66"/>
    <n v="0.12"/>
    <n v="0.89"/>
    <n v="4.74"/>
    <n v="0"/>
    <n v="21.99"/>
    <s v="Low"/>
    <m/>
    <m/>
    <m/>
    <m/>
    <m/>
    <m/>
    <m/>
    <m/>
    <m/>
    <m/>
    <m/>
    <m/>
    <m/>
  </r>
  <r>
    <x v="2"/>
    <s v="Agent_8"/>
    <s v="Tuesday"/>
    <s v="Afternoon"/>
    <s v="3-6 months"/>
    <x v="35"/>
    <n v="4.4000000000000004"/>
    <n v="0.15"/>
    <n v="0.81"/>
    <n v="4.25"/>
    <n v="0"/>
    <n v="21.6"/>
    <s v="Low"/>
    <m/>
    <m/>
    <m/>
    <m/>
    <m/>
    <m/>
    <m/>
    <m/>
    <m/>
    <m/>
    <m/>
    <m/>
    <m/>
  </r>
  <r>
    <x v="2"/>
    <s v="Agent_8"/>
    <s v="Tuesday"/>
    <s v="Evening"/>
    <s v="6+ months"/>
    <x v="9"/>
    <n v="6.01"/>
    <n v="0.05"/>
    <n v="0.61"/>
    <n v="3.55"/>
    <n v="0"/>
    <n v="24.02"/>
    <s v="Low"/>
    <m/>
    <m/>
    <m/>
    <m/>
    <m/>
    <m/>
    <m/>
    <m/>
    <m/>
    <m/>
    <m/>
    <m/>
    <m/>
  </r>
  <r>
    <x v="2"/>
    <s v="Agent_8"/>
    <s v="Wednesday"/>
    <s v="Morning"/>
    <s v="6+ months"/>
    <x v="48"/>
    <n v="5.05"/>
    <n v="0.05"/>
    <n v="0.81"/>
    <n v="4.43"/>
    <n v="0"/>
    <n v="22.58"/>
    <s v="Low"/>
    <m/>
    <m/>
    <m/>
    <m/>
    <m/>
    <m/>
    <m/>
    <m/>
    <m/>
    <m/>
    <m/>
    <m/>
    <m/>
  </r>
  <r>
    <x v="2"/>
    <s v="Agent_8"/>
    <s v="Wednesday"/>
    <s v="Afternoon"/>
    <s v="3-6 months"/>
    <x v="32"/>
    <n v="5.19"/>
    <n v="7.0000000000000007E-2"/>
    <n v="0.88"/>
    <n v="4.7300000000000004"/>
    <n v="2"/>
    <n v="26.78"/>
    <s v="Low"/>
    <m/>
    <m/>
    <m/>
    <m/>
    <m/>
    <m/>
    <m/>
    <m/>
    <m/>
    <m/>
    <m/>
    <m/>
    <m/>
  </r>
  <r>
    <x v="2"/>
    <s v="Agent_8"/>
    <s v="Wednesday"/>
    <s v="Evening"/>
    <s v="3-6 months"/>
    <x v="19"/>
    <n v="6.96"/>
    <n v="0.13"/>
    <n v="0.82"/>
    <n v="4.21"/>
    <n v="0"/>
    <n v="25.44"/>
    <s v="Low"/>
    <m/>
    <m/>
    <m/>
    <m/>
    <m/>
    <m/>
    <m/>
    <m/>
    <m/>
    <m/>
    <m/>
    <m/>
    <m/>
  </r>
  <r>
    <x v="2"/>
    <s v="Agent_8"/>
    <s v="Thursday"/>
    <s v="Morning"/>
    <s v="0-3 months"/>
    <x v="7"/>
    <n v="6.89"/>
    <n v="0.1"/>
    <n v="0.76"/>
    <n v="3.59"/>
    <n v="2"/>
    <n v="29.34"/>
    <s v="High"/>
    <m/>
    <m/>
    <m/>
    <m/>
    <m/>
    <m/>
    <m/>
    <m/>
    <m/>
    <m/>
    <m/>
    <m/>
    <m/>
  </r>
  <r>
    <x v="2"/>
    <s v="Agent_8"/>
    <s v="Thursday"/>
    <s v="Afternoon"/>
    <s v="3-6 months"/>
    <x v="4"/>
    <n v="5.58"/>
    <n v="0.03"/>
    <n v="0.87"/>
    <n v="3.56"/>
    <n v="1"/>
    <n v="25.37"/>
    <s v="Low"/>
    <m/>
    <m/>
    <m/>
    <m/>
    <m/>
    <m/>
    <m/>
    <m/>
    <m/>
    <m/>
    <m/>
    <m/>
    <m/>
  </r>
  <r>
    <x v="2"/>
    <s v="Agent_8"/>
    <s v="Thursday"/>
    <s v="Evening"/>
    <s v="6+ months"/>
    <x v="8"/>
    <n v="5.05"/>
    <n v="0.13"/>
    <n v="0.73"/>
    <n v="3.87"/>
    <n v="0"/>
    <n v="22.58"/>
    <s v="Low"/>
    <m/>
    <m/>
    <m/>
    <m/>
    <m/>
    <m/>
    <m/>
    <m/>
    <m/>
    <m/>
    <m/>
    <m/>
    <m/>
  </r>
  <r>
    <x v="2"/>
    <s v="Agent_8"/>
    <s v="Friday"/>
    <s v="Morning"/>
    <s v="0-3 months"/>
    <x v="23"/>
    <n v="6.42"/>
    <n v="0.05"/>
    <n v="0.81"/>
    <n v="4.18"/>
    <n v="0"/>
    <n v="24.63"/>
    <s v="Low"/>
    <m/>
    <m/>
    <m/>
    <m/>
    <m/>
    <m/>
    <m/>
    <m/>
    <m/>
    <m/>
    <m/>
    <m/>
    <m/>
  </r>
  <r>
    <x v="2"/>
    <s v="Agent_8"/>
    <s v="Friday"/>
    <s v="Afternoon"/>
    <s v="6+ months"/>
    <x v="22"/>
    <n v="6.99"/>
    <n v="0.03"/>
    <n v="0.78"/>
    <n v="3.9"/>
    <n v="1"/>
    <n v="27.48"/>
    <s v="Low"/>
    <m/>
    <m/>
    <m/>
    <m/>
    <m/>
    <m/>
    <m/>
    <m/>
    <m/>
    <m/>
    <m/>
    <m/>
    <m/>
  </r>
  <r>
    <x v="2"/>
    <s v="Agent_8"/>
    <s v="Friday"/>
    <s v="Evening"/>
    <s v="3-6 months"/>
    <x v="23"/>
    <n v="5.84"/>
    <n v="0.13"/>
    <n v="0.71"/>
    <n v="3.89"/>
    <n v="0"/>
    <n v="23.76"/>
    <s v="Low"/>
    <m/>
    <m/>
    <m/>
    <m/>
    <m/>
    <m/>
    <m/>
    <m/>
    <m/>
    <m/>
    <m/>
    <m/>
    <m/>
  </r>
  <r>
    <x v="2"/>
    <s v="Agent_9"/>
    <s v="Monday"/>
    <s v="Morning"/>
    <s v="6+ months"/>
    <x v="49"/>
    <n v="5.38"/>
    <n v="0.06"/>
    <n v="0.9"/>
    <n v="4.03"/>
    <n v="0"/>
    <n v="23.07"/>
    <s v="Low"/>
    <m/>
    <m/>
    <m/>
    <m/>
    <m/>
    <m/>
    <m/>
    <m/>
    <m/>
    <m/>
    <m/>
    <m/>
    <m/>
  </r>
  <r>
    <x v="2"/>
    <s v="Agent_9"/>
    <s v="Monday"/>
    <s v="Afternoon"/>
    <s v="6+ months"/>
    <x v="2"/>
    <n v="5.62"/>
    <n v="0.04"/>
    <n v="0.81"/>
    <n v="4.04"/>
    <n v="1"/>
    <n v="25.43"/>
    <s v="Low"/>
    <m/>
    <m/>
    <m/>
    <m/>
    <m/>
    <m/>
    <m/>
    <m/>
    <m/>
    <m/>
    <m/>
    <m/>
    <m/>
  </r>
  <r>
    <x v="2"/>
    <s v="Agent_9"/>
    <s v="Monday"/>
    <s v="Evening"/>
    <s v="0-3 months"/>
    <x v="20"/>
    <n v="6.42"/>
    <n v="0.28999999999999998"/>
    <n v="0.61"/>
    <n v="3.84"/>
    <n v="1"/>
    <n v="26.63"/>
    <s v="Low"/>
    <m/>
    <m/>
    <m/>
    <m/>
    <m/>
    <m/>
    <m/>
    <m/>
    <m/>
    <m/>
    <m/>
    <m/>
    <m/>
  </r>
  <r>
    <x v="2"/>
    <s v="Agent_9"/>
    <s v="Tuesday"/>
    <s v="Morning"/>
    <s v="0-3 months"/>
    <x v="16"/>
    <n v="7.4"/>
    <n v="0.08"/>
    <n v="0.83"/>
    <n v="4.51"/>
    <n v="1"/>
    <n v="28.1"/>
    <s v="High"/>
    <m/>
    <m/>
    <m/>
    <m/>
    <m/>
    <m/>
    <m/>
    <m/>
    <m/>
    <m/>
    <m/>
    <m/>
    <m/>
  </r>
  <r>
    <x v="2"/>
    <s v="Agent_9"/>
    <s v="Tuesday"/>
    <s v="Afternoon"/>
    <s v="0-3 months"/>
    <x v="26"/>
    <n v="7.08"/>
    <n v="0.17"/>
    <n v="0.89"/>
    <n v="4.4000000000000004"/>
    <n v="1"/>
    <n v="27.62"/>
    <s v="Low"/>
    <m/>
    <m/>
    <m/>
    <m/>
    <m/>
    <m/>
    <m/>
    <m/>
    <m/>
    <m/>
    <m/>
    <m/>
    <m/>
  </r>
  <r>
    <x v="2"/>
    <s v="Agent_9"/>
    <s v="Tuesday"/>
    <s v="Evening"/>
    <s v="6+ months"/>
    <x v="26"/>
    <n v="7"/>
    <n v="0.02"/>
    <n v="0.61"/>
    <n v="3.68"/>
    <n v="0"/>
    <n v="25.5"/>
    <s v="Low"/>
    <m/>
    <m/>
    <m/>
    <m/>
    <m/>
    <m/>
    <m/>
    <m/>
    <m/>
    <m/>
    <m/>
    <m/>
    <m/>
  </r>
  <r>
    <x v="2"/>
    <s v="Agent_9"/>
    <s v="Wednesday"/>
    <s v="Morning"/>
    <s v="3-6 months"/>
    <x v="4"/>
    <n v="6.31"/>
    <n v="0.11"/>
    <n v="0.82"/>
    <n v="4.21"/>
    <n v="0"/>
    <n v="24.46"/>
    <s v="Low"/>
    <m/>
    <m/>
    <m/>
    <m/>
    <m/>
    <m/>
    <m/>
    <m/>
    <m/>
    <m/>
    <m/>
    <m/>
    <m/>
  </r>
  <r>
    <x v="2"/>
    <s v="Agent_9"/>
    <s v="Wednesday"/>
    <s v="Afternoon"/>
    <s v="3-6 months"/>
    <x v="34"/>
    <n v="5.55"/>
    <n v="0.12"/>
    <n v="0.86"/>
    <n v="4"/>
    <n v="0"/>
    <n v="23.32"/>
    <s v="Low"/>
    <m/>
    <m/>
    <m/>
    <m/>
    <m/>
    <m/>
    <m/>
    <m/>
    <m/>
    <m/>
    <m/>
    <m/>
    <m/>
  </r>
  <r>
    <x v="2"/>
    <s v="Agent_9"/>
    <s v="Wednesday"/>
    <s v="Evening"/>
    <s v="6+ months"/>
    <x v="1"/>
    <n v="6.49"/>
    <n v="0.13"/>
    <n v="0.62"/>
    <n v="4.2300000000000004"/>
    <n v="0"/>
    <n v="24.74"/>
    <s v="Low"/>
    <m/>
    <m/>
    <m/>
    <m/>
    <m/>
    <m/>
    <m/>
    <m/>
    <m/>
    <m/>
    <m/>
    <m/>
    <m/>
  </r>
  <r>
    <x v="2"/>
    <s v="Agent_9"/>
    <s v="Thursday"/>
    <s v="Morning"/>
    <s v="6+ months"/>
    <x v="25"/>
    <n v="7.25"/>
    <n v="0.15"/>
    <n v="0.76"/>
    <n v="4.16"/>
    <n v="1"/>
    <n v="27.88"/>
    <s v="High"/>
    <m/>
    <m/>
    <m/>
    <m/>
    <m/>
    <m/>
    <m/>
    <m/>
    <m/>
    <m/>
    <m/>
    <m/>
    <m/>
  </r>
  <r>
    <x v="2"/>
    <s v="Agent_9"/>
    <s v="Thursday"/>
    <s v="Afternoon"/>
    <s v="6+ months"/>
    <x v="14"/>
    <n v="6.19"/>
    <n v="0.11"/>
    <n v="0.84"/>
    <n v="3.91"/>
    <n v="2"/>
    <n v="28.28"/>
    <s v="High"/>
    <m/>
    <m/>
    <m/>
    <m/>
    <m/>
    <m/>
    <m/>
    <m/>
    <m/>
    <m/>
    <m/>
    <m/>
    <m/>
  </r>
  <r>
    <x v="2"/>
    <s v="Agent_9"/>
    <s v="Thursday"/>
    <s v="Evening"/>
    <s v="3-6 months"/>
    <x v="11"/>
    <n v="6.23"/>
    <n v="0.05"/>
    <n v="0.76"/>
    <n v="4.24"/>
    <n v="2"/>
    <n v="28.34"/>
    <s v="High"/>
    <m/>
    <m/>
    <m/>
    <m/>
    <m/>
    <m/>
    <m/>
    <m/>
    <m/>
    <m/>
    <m/>
    <m/>
    <m/>
  </r>
  <r>
    <x v="2"/>
    <s v="Agent_9"/>
    <s v="Friday"/>
    <s v="Morning"/>
    <s v="6+ months"/>
    <x v="35"/>
    <n v="5.34"/>
    <n v="0.04"/>
    <n v="0.75"/>
    <n v="4.01"/>
    <n v="0"/>
    <n v="23.01"/>
    <s v="Low"/>
    <m/>
    <m/>
    <m/>
    <m/>
    <m/>
    <m/>
    <m/>
    <m/>
    <m/>
    <m/>
    <m/>
    <m/>
    <m/>
  </r>
  <r>
    <x v="2"/>
    <s v="Agent_9"/>
    <s v="Friday"/>
    <s v="Afternoon"/>
    <s v="3-6 months"/>
    <x v="42"/>
    <n v="5.5"/>
    <n v="0.06"/>
    <n v="0.86"/>
    <n v="4.03"/>
    <n v="0"/>
    <n v="23.25"/>
    <s v="Low"/>
    <m/>
    <m/>
    <m/>
    <m/>
    <m/>
    <m/>
    <m/>
    <m/>
    <m/>
    <m/>
    <m/>
    <m/>
    <m/>
  </r>
  <r>
    <x v="2"/>
    <s v="Agent_9"/>
    <s v="Friday"/>
    <s v="Evening"/>
    <s v="6+ months"/>
    <x v="33"/>
    <n v="7.81"/>
    <n v="0.06"/>
    <n v="0.61"/>
    <n v="3.99"/>
    <n v="2"/>
    <n v="30.72"/>
    <s v="High"/>
    <m/>
    <m/>
    <m/>
    <m/>
    <m/>
    <m/>
    <m/>
    <m/>
    <m/>
    <m/>
    <m/>
    <m/>
    <m/>
  </r>
  <r>
    <x v="2"/>
    <s v="Agent_10"/>
    <s v="Monday"/>
    <s v="Morning"/>
    <s v="3-6 months"/>
    <x v="22"/>
    <n v="5.34"/>
    <n v="0.1"/>
    <n v="0.78"/>
    <n v="4.04"/>
    <n v="1"/>
    <n v="25.01"/>
    <s v="Low"/>
    <m/>
    <m/>
    <m/>
    <m/>
    <m/>
    <m/>
    <m/>
    <m/>
    <m/>
    <m/>
    <m/>
    <m/>
    <m/>
  </r>
  <r>
    <x v="2"/>
    <s v="Agent_10"/>
    <s v="Monday"/>
    <s v="Afternoon"/>
    <s v="0-3 months"/>
    <x v="0"/>
    <n v="6.42"/>
    <n v="0.28000000000000003"/>
    <n v="0.75"/>
    <n v="4.09"/>
    <n v="3"/>
    <n v="30.63"/>
    <s v="High"/>
    <m/>
    <m/>
    <m/>
    <m/>
    <m/>
    <m/>
    <m/>
    <m/>
    <m/>
    <m/>
    <m/>
    <m/>
    <m/>
  </r>
  <r>
    <x v="2"/>
    <s v="Agent_10"/>
    <s v="Monday"/>
    <s v="Evening"/>
    <s v="0-3 months"/>
    <x v="31"/>
    <n v="5.83"/>
    <n v="0.28999999999999998"/>
    <n v="0.74"/>
    <n v="3.75"/>
    <n v="0"/>
    <n v="23.74"/>
    <s v="Low"/>
    <m/>
    <m/>
    <m/>
    <m/>
    <m/>
    <m/>
    <m/>
    <m/>
    <m/>
    <m/>
    <m/>
    <m/>
    <m/>
  </r>
  <r>
    <x v="2"/>
    <s v="Agent_10"/>
    <s v="Tuesday"/>
    <s v="Morning"/>
    <s v="0-3 months"/>
    <x v="17"/>
    <n v="4.5"/>
    <n v="0.1"/>
    <n v="0.82"/>
    <n v="3.85"/>
    <n v="0"/>
    <n v="21.75"/>
    <s v="Low"/>
    <m/>
    <m/>
    <m/>
    <m/>
    <m/>
    <m/>
    <m/>
    <m/>
    <m/>
    <m/>
    <m/>
    <m/>
    <m/>
  </r>
  <r>
    <x v="2"/>
    <s v="Agent_10"/>
    <s v="Tuesday"/>
    <s v="Afternoon"/>
    <s v="3-6 months"/>
    <x v="41"/>
    <n v="5.35"/>
    <n v="0.04"/>
    <n v="0.84"/>
    <n v="3.72"/>
    <n v="2"/>
    <n v="27.02"/>
    <s v="Low"/>
    <m/>
    <m/>
    <m/>
    <m/>
    <m/>
    <m/>
    <m/>
    <m/>
    <m/>
    <m/>
    <m/>
    <m/>
    <m/>
  </r>
  <r>
    <x v="2"/>
    <s v="Agent_10"/>
    <s v="Tuesday"/>
    <s v="Evening"/>
    <s v="0-3 months"/>
    <x v="23"/>
    <n v="6.2"/>
    <n v="0.21"/>
    <n v="0.76"/>
    <n v="3.85"/>
    <n v="0"/>
    <n v="24.3"/>
    <s v="Low"/>
    <m/>
    <m/>
    <m/>
    <m/>
    <m/>
    <m/>
    <m/>
    <m/>
    <m/>
    <m/>
    <m/>
    <m/>
    <m/>
  </r>
  <r>
    <x v="2"/>
    <s v="Agent_10"/>
    <s v="Wednesday"/>
    <s v="Morning"/>
    <s v="6+ months"/>
    <x v="45"/>
    <n v="5.19"/>
    <n v="0.09"/>
    <n v="0.82"/>
    <n v="4.37"/>
    <n v="0"/>
    <n v="22.78"/>
    <s v="Low"/>
    <m/>
    <m/>
    <m/>
    <m/>
    <m/>
    <m/>
    <m/>
    <m/>
    <m/>
    <m/>
    <m/>
    <m/>
    <m/>
  </r>
  <r>
    <x v="2"/>
    <s v="Agent_10"/>
    <s v="Wednesday"/>
    <s v="Afternoon"/>
    <s v="3-6 months"/>
    <x v="44"/>
    <n v="5.79"/>
    <n v="0.1"/>
    <n v="0.86"/>
    <n v="4.38"/>
    <n v="0"/>
    <n v="23.68"/>
    <s v="Low"/>
    <m/>
    <m/>
    <m/>
    <m/>
    <m/>
    <m/>
    <m/>
    <m/>
    <m/>
    <m/>
    <m/>
    <m/>
    <m/>
  </r>
  <r>
    <x v="2"/>
    <s v="Agent_10"/>
    <s v="Wednesday"/>
    <s v="Evening"/>
    <s v="0-3 months"/>
    <x v="19"/>
    <n v="6.28"/>
    <n v="0.28000000000000003"/>
    <n v="0.74"/>
    <n v="4.72"/>
    <n v="0"/>
    <n v="24.42"/>
    <s v="Low"/>
    <m/>
    <m/>
    <m/>
    <m/>
    <m/>
    <m/>
    <m/>
    <m/>
    <m/>
    <m/>
    <m/>
    <m/>
    <m/>
  </r>
  <r>
    <x v="2"/>
    <s v="Agent_10"/>
    <s v="Thursday"/>
    <s v="Morning"/>
    <s v="6+ months"/>
    <x v="28"/>
    <n v="6.56"/>
    <n v="0.15"/>
    <n v="0.77"/>
    <n v="3.51"/>
    <n v="0"/>
    <n v="24.84"/>
    <s v="Low"/>
    <m/>
    <m/>
    <m/>
    <m/>
    <m/>
    <m/>
    <m/>
    <m/>
    <m/>
    <m/>
    <m/>
    <m/>
    <m/>
  </r>
  <r>
    <x v="2"/>
    <s v="Agent_10"/>
    <s v="Thursday"/>
    <s v="Afternoon"/>
    <s v="0-3 months"/>
    <x v="2"/>
    <n v="4.9800000000000004"/>
    <n v="0.28000000000000003"/>
    <n v="0.82"/>
    <n v="3.84"/>
    <n v="0"/>
    <n v="22.47"/>
    <s v="Low"/>
    <m/>
    <m/>
    <m/>
    <m/>
    <m/>
    <m/>
    <m/>
    <m/>
    <m/>
    <m/>
    <m/>
    <m/>
    <m/>
  </r>
  <r>
    <x v="2"/>
    <s v="Agent_10"/>
    <s v="Thursday"/>
    <s v="Evening"/>
    <s v="6+ months"/>
    <x v="5"/>
    <n v="7.97"/>
    <n v="0.11"/>
    <n v="0.65"/>
    <n v="4.3499999999999996"/>
    <n v="2"/>
    <n v="30.96"/>
    <s v="High"/>
    <m/>
    <m/>
    <m/>
    <m/>
    <m/>
    <m/>
    <m/>
    <m/>
    <m/>
    <m/>
    <m/>
    <m/>
    <m/>
  </r>
  <r>
    <x v="2"/>
    <s v="Agent_10"/>
    <s v="Friday"/>
    <s v="Morning"/>
    <s v="0-3 months"/>
    <x v="6"/>
    <n v="6.54"/>
    <n v="0.06"/>
    <n v="0.8"/>
    <n v="3.52"/>
    <n v="0"/>
    <n v="24.81"/>
    <s v="Low"/>
    <m/>
    <m/>
    <m/>
    <m/>
    <m/>
    <m/>
    <m/>
    <m/>
    <m/>
    <m/>
    <m/>
    <m/>
    <m/>
  </r>
  <r>
    <x v="2"/>
    <s v="Agent_10"/>
    <s v="Friday"/>
    <s v="Afternoon"/>
    <s v="6+ months"/>
    <x v="40"/>
    <n v="7.71"/>
    <n v="0.1"/>
    <n v="0.85"/>
    <n v="3.61"/>
    <n v="3"/>
    <n v="32.56"/>
    <s v="High"/>
    <m/>
    <m/>
    <m/>
    <m/>
    <m/>
    <m/>
    <m/>
    <m/>
    <m/>
    <m/>
    <m/>
    <m/>
    <m/>
  </r>
  <r>
    <x v="2"/>
    <s v="Agent_10"/>
    <s v="Friday"/>
    <s v="Evening"/>
    <s v="6+ months"/>
    <x v="24"/>
    <n v="5.7"/>
    <n v="7.0000000000000007E-2"/>
    <n v="0.72"/>
    <n v="3.87"/>
    <n v="1"/>
    <n v="25.55"/>
    <s v="Low"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  <r>
    <x v="3"/>
    <m/>
    <m/>
    <m/>
    <m/>
    <x v="50"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s v="Team A"/>
    <s v="Agent_1"/>
    <s v="Monday"/>
    <s v="Morning"/>
    <s v="3-6 months"/>
    <n v="58"/>
    <x v="0"/>
    <n v="0.1"/>
    <n v="0.82"/>
    <n v="3.63"/>
    <n v="0"/>
    <n v="24.81"/>
    <s v="Low"/>
  </r>
  <r>
    <s v="Team A"/>
    <s v="Agent_1"/>
    <s v="Monday"/>
    <s v="Afternoon"/>
    <s v="3-6 months"/>
    <n v="69"/>
    <x v="1"/>
    <n v="0.11"/>
    <n v="0.75"/>
    <n v="4.76"/>
    <n v="2"/>
    <n v="27.07"/>
    <s v="Low"/>
  </r>
  <r>
    <s v="Team A"/>
    <s v="Agent_1"/>
    <s v="Monday"/>
    <s v="Evening"/>
    <s v="0-3 months"/>
    <n v="50"/>
    <x v="2"/>
    <n v="0.05"/>
    <n v="0.61"/>
    <n v="4.18"/>
    <n v="0"/>
    <n v="26.19"/>
    <s v="Low"/>
  </r>
  <r>
    <s v="Team A"/>
    <s v="Agent_1"/>
    <s v="Tuesday"/>
    <s v="Morning"/>
    <s v="0-3 months"/>
    <n v="45"/>
    <x v="3"/>
    <n v="0.11"/>
    <n v="0.76"/>
    <n v="4.3"/>
    <n v="0"/>
    <n v="26.31"/>
    <s v="Low"/>
  </r>
  <r>
    <s v="Team A"/>
    <s v="Agent_1"/>
    <s v="Tuesday"/>
    <s v="Afternoon"/>
    <s v="6+ months"/>
    <n v="32"/>
    <x v="4"/>
    <n v="0.08"/>
    <n v="0.75"/>
    <n v="4.72"/>
    <n v="0"/>
    <n v="24.63"/>
    <s v="Low"/>
  </r>
  <r>
    <s v="Team A"/>
    <s v="Agent_1"/>
    <s v="Tuesday"/>
    <s v="Evening"/>
    <s v="3-6 months"/>
    <n v="55"/>
    <x v="5"/>
    <n v="0.03"/>
    <n v="0.77"/>
    <n v="4.07"/>
    <n v="0"/>
    <n v="25.24"/>
    <s v="Low"/>
  </r>
  <r>
    <s v="Team A"/>
    <s v="Agent_1"/>
    <s v="Wednesday"/>
    <s v="Morning"/>
    <s v="3-6 months"/>
    <n v="76"/>
    <x v="6"/>
    <n v="0.04"/>
    <n v="0.86"/>
    <n v="4.05"/>
    <n v="0"/>
    <n v="23.42"/>
    <s v="Low"/>
  </r>
  <r>
    <s v="Team A"/>
    <s v="Agent_1"/>
    <s v="Wednesday"/>
    <s v="Afternoon"/>
    <s v="3-6 months"/>
    <n v="58"/>
    <x v="7"/>
    <n v="0.15"/>
    <n v="0.87"/>
    <n v="4.72"/>
    <n v="2"/>
    <n v="26.26"/>
    <s v="Low"/>
  </r>
  <r>
    <s v="Team A"/>
    <s v="Agent_1"/>
    <s v="Wednesday"/>
    <s v="Evening"/>
    <s v="3-6 months"/>
    <n v="77"/>
    <x v="8"/>
    <n v="0.09"/>
    <n v="0.84"/>
    <n v="4.5999999999999996"/>
    <n v="1"/>
    <n v="27.12"/>
    <s v="Low"/>
  </r>
  <r>
    <s v="Team A"/>
    <s v="Agent_1"/>
    <s v="Thursday"/>
    <s v="Morning"/>
    <s v="3-6 months"/>
    <n v="53"/>
    <x v="9"/>
    <n v="7.0000000000000007E-2"/>
    <n v="0.79"/>
    <n v="4.21"/>
    <n v="0"/>
    <n v="21.24"/>
    <s v="Low"/>
  </r>
  <r>
    <s v="Team A"/>
    <s v="Agent_1"/>
    <s v="Thursday"/>
    <s v="Afternoon"/>
    <s v="6+ months"/>
    <n v="30"/>
    <x v="10"/>
    <n v="7.0000000000000007E-2"/>
    <n v="0.79"/>
    <n v="3.52"/>
    <n v="0"/>
    <n v="23.94"/>
    <s v="Low"/>
  </r>
  <r>
    <s v="Team A"/>
    <s v="Agent_1"/>
    <s v="Thursday"/>
    <s v="Evening"/>
    <s v="6+ months"/>
    <n v="64"/>
    <x v="11"/>
    <n v="0.12"/>
    <n v="0.62"/>
    <n v="3.97"/>
    <n v="0"/>
    <n v="23.58"/>
    <s v="Low"/>
  </r>
  <r>
    <s v="Team A"/>
    <s v="Agent_1"/>
    <s v="Friday"/>
    <s v="Morning"/>
    <s v="6+ months"/>
    <n v="37"/>
    <x v="12"/>
    <n v="7.0000000000000007E-2"/>
    <n v="0.85"/>
    <n v="4.37"/>
    <n v="0"/>
    <n v="22.65"/>
    <s v="Low"/>
  </r>
  <r>
    <s v="Team A"/>
    <s v="Agent_1"/>
    <s v="Friday"/>
    <s v="Afternoon"/>
    <s v="0-3 months"/>
    <n v="64"/>
    <x v="13"/>
    <n v="0.17"/>
    <n v="0.77"/>
    <n v="4.43"/>
    <n v="1"/>
    <n v="25.84"/>
    <s v="Low"/>
  </r>
  <r>
    <s v="Team A"/>
    <s v="Agent_1"/>
    <s v="Friday"/>
    <s v="Evening"/>
    <s v="3-6 months"/>
    <n v="43"/>
    <x v="14"/>
    <n v="0.08"/>
    <n v="0.61"/>
    <n v="3.64"/>
    <n v="0"/>
    <n v="29.06"/>
    <s v="High"/>
  </r>
  <r>
    <s v="Team A"/>
    <s v="Agent_2"/>
    <s v="Monday"/>
    <s v="Morning"/>
    <s v="3-6 months"/>
    <n v="61"/>
    <x v="15"/>
    <n v="0.11"/>
    <n v="0.77"/>
    <n v="4.29"/>
    <n v="0"/>
    <n v="22.62"/>
    <s v="Low"/>
  </r>
  <r>
    <s v="Team A"/>
    <s v="Agent_2"/>
    <s v="Monday"/>
    <s v="Afternoon"/>
    <s v="0-3 months"/>
    <n v="42"/>
    <x v="16"/>
    <n v="0.09"/>
    <n v="0.89"/>
    <n v="4.55"/>
    <n v="1"/>
    <n v="25.68"/>
    <s v="Low"/>
  </r>
  <r>
    <s v="Team A"/>
    <s v="Agent_2"/>
    <s v="Monday"/>
    <s v="Evening"/>
    <s v="6+ months"/>
    <n v="57"/>
    <x v="17"/>
    <n v="0.05"/>
    <n v="0.7"/>
    <n v="4.6500000000000004"/>
    <n v="0"/>
    <n v="23.36"/>
    <s v="Low"/>
  </r>
  <r>
    <s v="Team A"/>
    <s v="Agent_2"/>
    <s v="Tuesday"/>
    <s v="Morning"/>
    <s v="0-3 months"/>
    <n v="54"/>
    <x v="18"/>
    <n v="0.11"/>
    <n v="0.81"/>
    <n v="4.5599999999999996"/>
    <n v="2"/>
    <n v="26.95"/>
    <s v="Low"/>
  </r>
  <r>
    <s v="Team A"/>
    <s v="Agent_2"/>
    <s v="Tuesday"/>
    <s v="Afternoon"/>
    <s v="0-3 months"/>
    <n v="37"/>
    <x v="19"/>
    <n v="0.18"/>
    <n v="0.82"/>
    <n v="4.4000000000000004"/>
    <n v="0"/>
    <n v="23.5"/>
    <s v="Low"/>
  </r>
  <r>
    <s v="Team A"/>
    <s v="Agent_2"/>
    <s v="Tuesday"/>
    <s v="Evening"/>
    <s v="0-3 months"/>
    <n v="61"/>
    <x v="20"/>
    <n v="0.14000000000000001"/>
    <n v="0.84"/>
    <n v="4.75"/>
    <n v="0"/>
    <n v="26.84"/>
    <s v="Low"/>
  </r>
  <r>
    <s v="Team A"/>
    <s v="Agent_2"/>
    <s v="Wednesday"/>
    <s v="Morning"/>
    <s v="3-6 months"/>
    <n v="78"/>
    <x v="21"/>
    <n v="0.04"/>
    <n v="0.9"/>
    <n v="3.85"/>
    <n v="3"/>
    <n v="30.26"/>
    <s v="High"/>
  </r>
  <r>
    <s v="Team A"/>
    <s v="Agent_2"/>
    <s v="Wednesday"/>
    <s v="Afternoon"/>
    <s v="3-6 months"/>
    <n v="52"/>
    <x v="22"/>
    <n v="0.05"/>
    <n v="0.77"/>
    <n v="4.1399999999999997"/>
    <n v="3"/>
    <n v="30.72"/>
    <s v="High"/>
  </r>
  <r>
    <s v="Team A"/>
    <s v="Agent_2"/>
    <s v="Wednesday"/>
    <s v="Evening"/>
    <s v="0-3 months"/>
    <n v="33"/>
    <x v="23"/>
    <n v="7.0000000000000007E-2"/>
    <n v="0.69"/>
    <n v="3.81"/>
    <n v="2"/>
    <n v="27.61"/>
    <s v="Low"/>
  </r>
  <r>
    <s v="Team A"/>
    <s v="Agent_2"/>
    <s v="Thursday"/>
    <s v="Morning"/>
    <s v="3-6 months"/>
    <n v="63"/>
    <x v="24"/>
    <n v="0.03"/>
    <n v="0.88"/>
    <n v="3.92"/>
    <n v="0"/>
    <n v="24.88"/>
    <s v="Low"/>
  </r>
  <r>
    <s v="Team A"/>
    <s v="Agent_2"/>
    <s v="Thursday"/>
    <s v="Afternoon"/>
    <s v="0-3 months"/>
    <n v="49"/>
    <x v="25"/>
    <n v="0.13"/>
    <n v="0.78"/>
    <n v="4.42"/>
    <n v="2"/>
    <n v="31.28"/>
    <s v="High"/>
  </r>
  <r>
    <s v="Team A"/>
    <s v="Agent_2"/>
    <s v="Thursday"/>
    <s v="Evening"/>
    <s v="3-6 months"/>
    <n v="36"/>
    <x v="0"/>
    <n v="7.0000000000000007E-2"/>
    <n v="0.83"/>
    <n v="3.68"/>
    <n v="0"/>
    <n v="24.81"/>
    <s v="Low"/>
  </r>
  <r>
    <s v="Team A"/>
    <s v="Agent_2"/>
    <s v="Friday"/>
    <s v="Morning"/>
    <s v="0-3 months"/>
    <n v="52"/>
    <x v="26"/>
    <n v="0.19"/>
    <n v="0.85"/>
    <n v="3.8"/>
    <n v="0"/>
    <n v="22.64"/>
    <s v="Low"/>
  </r>
  <r>
    <s v="Team A"/>
    <s v="Agent_2"/>
    <s v="Friday"/>
    <s v="Afternoon"/>
    <s v="6+ months"/>
    <n v="78"/>
    <x v="27"/>
    <n v="0.14000000000000001"/>
    <n v="0.89"/>
    <n v="4.32"/>
    <n v="0"/>
    <n v="23.52"/>
    <s v="Low"/>
  </r>
  <r>
    <s v="Team A"/>
    <s v="Agent_2"/>
    <s v="Friday"/>
    <s v="Evening"/>
    <s v="3-6 months"/>
    <n v="77"/>
    <x v="16"/>
    <n v="0.13"/>
    <n v="0.81"/>
    <n v="4.03"/>
    <n v="2"/>
    <n v="27.68"/>
    <s v="Low"/>
  </r>
  <r>
    <s v="Team A"/>
    <s v="Agent_3"/>
    <s v="Monday"/>
    <s v="Morning"/>
    <s v="6+ months"/>
    <n v="78"/>
    <x v="28"/>
    <n v="0.02"/>
    <n v="0.77"/>
    <n v="4.21"/>
    <n v="1"/>
    <n v="26.44"/>
    <s v="Low"/>
  </r>
  <r>
    <s v="Team A"/>
    <s v="Agent_3"/>
    <s v="Monday"/>
    <s v="Afternoon"/>
    <s v="3-6 months"/>
    <n v="70"/>
    <x v="29"/>
    <n v="0.04"/>
    <n v="0.75"/>
    <n v="4.1399999999999997"/>
    <n v="0"/>
    <n v="22.94"/>
    <s v="Low"/>
  </r>
  <r>
    <s v="Team A"/>
    <s v="Agent_3"/>
    <s v="Monday"/>
    <s v="Evening"/>
    <s v="3-6 months"/>
    <n v="37"/>
    <x v="4"/>
    <n v="0.09"/>
    <n v="0.62"/>
    <n v="3.98"/>
    <n v="0"/>
    <n v="24.63"/>
    <s v="Low"/>
  </r>
  <r>
    <s v="Team A"/>
    <s v="Agent_3"/>
    <s v="Tuesday"/>
    <s v="Morning"/>
    <s v="0-3 months"/>
    <n v="67"/>
    <x v="30"/>
    <n v="0.28999999999999998"/>
    <n v="0.82"/>
    <n v="4.68"/>
    <n v="0"/>
    <n v="25.41"/>
    <s v="Low"/>
  </r>
  <r>
    <s v="Team A"/>
    <s v="Agent_3"/>
    <s v="Tuesday"/>
    <s v="Afternoon"/>
    <s v="3-6 months"/>
    <n v="62"/>
    <x v="23"/>
    <n v="0.05"/>
    <n v="0.86"/>
    <n v="3.87"/>
    <n v="0"/>
    <n v="23.61"/>
    <s v="Low"/>
  </r>
  <r>
    <s v="Team A"/>
    <s v="Agent_3"/>
    <s v="Tuesday"/>
    <s v="Evening"/>
    <s v="3-6 months"/>
    <n v="46"/>
    <x v="31"/>
    <n v="0.15"/>
    <n v="0.72"/>
    <n v="3.86"/>
    <n v="2"/>
    <n v="32.08"/>
    <s v="High"/>
  </r>
  <r>
    <s v="Team A"/>
    <s v="Agent_3"/>
    <s v="Wednesday"/>
    <s v="Morning"/>
    <s v="6+ months"/>
    <n v="66"/>
    <x v="32"/>
    <n v="0.15"/>
    <n v="0.89"/>
    <n v="4.6100000000000003"/>
    <n v="0"/>
    <n v="23.82"/>
    <s v="Low"/>
  </r>
  <r>
    <s v="Team A"/>
    <s v="Agent_3"/>
    <s v="Wednesday"/>
    <s v="Afternoon"/>
    <s v="3-6 months"/>
    <n v="52"/>
    <x v="33"/>
    <n v="0.05"/>
    <n v="0.82"/>
    <n v="3.98"/>
    <n v="0"/>
    <n v="25.11"/>
    <s v="Low"/>
  </r>
  <r>
    <s v="Team A"/>
    <s v="Agent_3"/>
    <s v="Wednesday"/>
    <s v="Evening"/>
    <s v="6+ months"/>
    <n v="32"/>
    <x v="34"/>
    <n v="0.1"/>
    <n v="0.85"/>
    <n v="3.68"/>
    <n v="0"/>
    <n v="22.68"/>
    <s v="Low"/>
  </r>
  <r>
    <s v="Team A"/>
    <s v="Agent_3"/>
    <s v="Thursday"/>
    <s v="Morning"/>
    <s v="6+ months"/>
    <n v="46"/>
    <x v="35"/>
    <n v="0.13"/>
    <n v="0.77"/>
    <n v="4.42"/>
    <n v="0"/>
    <n v="24.22"/>
    <s v="Low"/>
  </r>
  <r>
    <s v="Team A"/>
    <s v="Agent_3"/>
    <s v="Thursday"/>
    <s v="Afternoon"/>
    <s v="0-3 months"/>
    <n v="55"/>
    <x v="36"/>
    <n v="0.28000000000000003"/>
    <n v="0.83"/>
    <n v="4.1500000000000004"/>
    <n v="1"/>
    <n v="26.45"/>
    <s v="Low"/>
  </r>
  <r>
    <s v="Team A"/>
    <s v="Agent_3"/>
    <s v="Thursday"/>
    <s v="Evening"/>
    <s v="3-6 months"/>
    <n v="75"/>
    <x v="37"/>
    <n v="0.12"/>
    <n v="0.82"/>
    <n v="3.94"/>
    <n v="0"/>
    <n v="24.39"/>
    <s v="Low"/>
  </r>
  <r>
    <s v="Team A"/>
    <s v="Agent_3"/>
    <s v="Friday"/>
    <s v="Morning"/>
    <s v="0-3 months"/>
    <n v="52"/>
    <x v="38"/>
    <n v="0.09"/>
    <n v="0.9"/>
    <n v="4.59"/>
    <n v="2"/>
    <n v="26.2"/>
    <s v="Low"/>
  </r>
  <r>
    <s v="Team A"/>
    <s v="Agent_3"/>
    <s v="Friday"/>
    <s v="Afternoon"/>
    <s v="0-3 months"/>
    <n v="71"/>
    <x v="39"/>
    <n v="0.26"/>
    <n v="0.8"/>
    <n v="3.67"/>
    <n v="0"/>
    <n v="25.8"/>
    <s v="Low"/>
  </r>
  <r>
    <s v="Team A"/>
    <s v="Agent_3"/>
    <s v="Friday"/>
    <s v="Evening"/>
    <s v="6+ months"/>
    <n v="73"/>
    <x v="40"/>
    <n v="0.13"/>
    <n v="0.65"/>
    <n v="4.03"/>
    <n v="1"/>
    <n v="25.92"/>
    <s v="Low"/>
  </r>
  <r>
    <s v="Team A"/>
    <s v="Agent_4"/>
    <s v="Monday"/>
    <s v="Morning"/>
    <s v="0-3 months"/>
    <n v="45"/>
    <x v="41"/>
    <n v="0.28999999999999998"/>
    <n v="0.83"/>
    <n v="3.92"/>
    <n v="1"/>
    <n v="26.78"/>
    <s v="Low"/>
  </r>
  <r>
    <s v="Team A"/>
    <s v="Agent_4"/>
    <s v="Monday"/>
    <s v="Afternoon"/>
    <s v="0-3 months"/>
    <n v="57"/>
    <x v="42"/>
    <n v="0.1"/>
    <n v="0.76"/>
    <n v="4.0599999999999996"/>
    <n v="1"/>
    <n v="24.71"/>
    <s v="Low"/>
  </r>
  <r>
    <s v="Team A"/>
    <s v="Agent_4"/>
    <s v="Monday"/>
    <s v="Evening"/>
    <s v="0-3 months"/>
    <n v="30"/>
    <x v="43"/>
    <n v="0.16"/>
    <n v="0.66"/>
    <n v="3.62"/>
    <n v="0"/>
    <n v="25.26"/>
    <s v="Low"/>
  </r>
  <r>
    <s v="Team A"/>
    <s v="Agent_4"/>
    <s v="Tuesday"/>
    <s v="Morning"/>
    <s v="6+ months"/>
    <n v="30"/>
    <x v="44"/>
    <n v="7.0000000000000007E-2"/>
    <n v="0.79"/>
    <n v="3.96"/>
    <n v="1"/>
    <n v="29.18"/>
    <s v="High"/>
  </r>
  <r>
    <s v="Team A"/>
    <s v="Agent_4"/>
    <s v="Tuesday"/>
    <s v="Afternoon"/>
    <s v="0-3 months"/>
    <n v="43"/>
    <x v="45"/>
    <n v="7.0000000000000007E-2"/>
    <n v="0.76"/>
    <n v="3.9"/>
    <n v="3"/>
    <n v="31.54"/>
    <s v="High"/>
  </r>
  <r>
    <s v="Team A"/>
    <s v="Agent_4"/>
    <s v="Tuesday"/>
    <s v="Evening"/>
    <s v="0-3 months"/>
    <n v="45"/>
    <x v="46"/>
    <n v="0.17"/>
    <n v="0.64"/>
    <n v="4.0599999999999996"/>
    <n v="0"/>
    <n v="23.97"/>
    <s v="Low"/>
  </r>
  <r>
    <s v="Team A"/>
    <s v="Agent_4"/>
    <s v="Wednesday"/>
    <s v="Morning"/>
    <s v="3-6 months"/>
    <n v="34"/>
    <x v="47"/>
    <n v="0.14000000000000001"/>
    <n v="0.79"/>
    <n v="3.52"/>
    <n v="2"/>
    <n v="26.6"/>
    <s v="Low"/>
  </r>
  <r>
    <s v="Team A"/>
    <s v="Agent_4"/>
    <s v="Wednesday"/>
    <s v="Afternoon"/>
    <s v="3-6 months"/>
    <n v="34"/>
    <x v="48"/>
    <n v="0.14000000000000001"/>
    <n v="0.89"/>
    <n v="4.63"/>
    <n v="1"/>
    <n v="27.46"/>
    <s v="Low"/>
  </r>
  <r>
    <s v="Team A"/>
    <s v="Agent_4"/>
    <s v="Wednesday"/>
    <s v="Evening"/>
    <s v="6+ months"/>
    <n v="41"/>
    <x v="3"/>
    <n v="7.0000000000000007E-2"/>
    <n v="0.76"/>
    <n v="4.0999999999999996"/>
    <n v="0"/>
    <n v="26.31"/>
    <s v="Low"/>
  </r>
  <r>
    <s v="Team A"/>
    <s v="Agent_4"/>
    <s v="Thursday"/>
    <s v="Morning"/>
    <s v="6+ months"/>
    <n v="32"/>
    <x v="49"/>
    <n v="0.05"/>
    <n v="0.79"/>
    <n v="3.78"/>
    <n v="0"/>
    <n v="24.75"/>
    <s v="Low"/>
  </r>
  <r>
    <s v="Team A"/>
    <s v="Agent_4"/>
    <s v="Thursday"/>
    <s v="Afternoon"/>
    <s v="0-3 months"/>
    <n v="79"/>
    <x v="50"/>
    <n v="0.22"/>
    <n v="0.76"/>
    <n v="3.91"/>
    <n v="2"/>
    <n v="29.59"/>
    <s v="High"/>
  </r>
  <r>
    <s v="Team A"/>
    <s v="Agent_4"/>
    <s v="Thursday"/>
    <s v="Evening"/>
    <s v="0-3 months"/>
    <n v="63"/>
    <x v="51"/>
    <n v="0.22"/>
    <n v="0.69"/>
    <n v="4.72"/>
    <n v="0"/>
    <n v="23.96"/>
    <s v="Low"/>
  </r>
  <r>
    <s v="Team A"/>
    <s v="Agent_4"/>
    <s v="Friday"/>
    <s v="Morning"/>
    <s v="3-6 months"/>
    <n v="65"/>
    <x v="52"/>
    <n v="0.04"/>
    <n v="0.86"/>
    <n v="4.55"/>
    <n v="3"/>
    <n v="27.42"/>
    <s v="Low"/>
  </r>
  <r>
    <s v="Team A"/>
    <s v="Agent_4"/>
    <s v="Friday"/>
    <s v="Afternoon"/>
    <s v="3-6 months"/>
    <n v="47"/>
    <x v="53"/>
    <n v="0.13"/>
    <n v="0.83"/>
    <n v="3.81"/>
    <n v="1"/>
    <n v="26.74"/>
    <s v="Low"/>
  </r>
  <r>
    <s v="Team A"/>
    <s v="Agent_4"/>
    <s v="Friday"/>
    <s v="Evening"/>
    <s v="6+ months"/>
    <n v="64"/>
    <x v="54"/>
    <n v="0.03"/>
    <n v="0.83"/>
    <n v="4.16"/>
    <n v="2"/>
    <n v="25.7"/>
    <s v="Low"/>
  </r>
  <r>
    <s v="Team A"/>
    <s v="Agent_5"/>
    <s v="Monday"/>
    <s v="Morning"/>
    <s v="3-6 months"/>
    <n v="48"/>
    <x v="55"/>
    <n v="0.14000000000000001"/>
    <n v="0.84"/>
    <n v="4.32"/>
    <n v="0"/>
    <n v="24.48"/>
    <s v="Low"/>
  </r>
  <r>
    <s v="Team A"/>
    <s v="Agent_5"/>
    <s v="Monday"/>
    <s v="Afternoon"/>
    <s v="0-3 months"/>
    <n v="54"/>
    <x v="56"/>
    <n v="0.19"/>
    <n v="0.78"/>
    <n v="4.7300000000000004"/>
    <n v="1"/>
    <n v="25.8"/>
    <s v="Low"/>
  </r>
  <r>
    <s v="Team A"/>
    <s v="Agent_5"/>
    <s v="Monday"/>
    <s v="Evening"/>
    <s v="0-3 months"/>
    <n v="71"/>
    <x v="57"/>
    <n v="0.28999999999999998"/>
    <n v="0.77"/>
    <n v="4.59"/>
    <n v="2"/>
    <n v="30.72"/>
    <s v="High"/>
  </r>
  <r>
    <s v="Team A"/>
    <s v="Agent_5"/>
    <s v="Tuesday"/>
    <s v="Morning"/>
    <s v="6+ months"/>
    <n v="75"/>
    <x v="58"/>
    <n v="0.11"/>
    <n v="0.76"/>
    <n v="4.57"/>
    <n v="1"/>
    <n v="26.6"/>
    <s v="Low"/>
  </r>
  <r>
    <s v="Team A"/>
    <s v="Agent_5"/>
    <s v="Tuesday"/>
    <s v="Afternoon"/>
    <s v="0-3 months"/>
    <n v="66"/>
    <x v="59"/>
    <n v="0.27"/>
    <n v="0.88"/>
    <n v="3.81"/>
    <n v="2"/>
    <n v="28.68"/>
    <s v="High"/>
  </r>
  <r>
    <s v="Team A"/>
    <s v="Agent_5"/>
    <s v="Tuesday"/>
    <s v="Evening"/>
    <s v="3-6 months"/>
    <n v="65"/>
    <x v="60"/>
    <n v="7.0000000000000007E-2"/>
    <n v="0.62"/>
    <n v="4.51"/>
    <n v="0"/>
    <n v="21.81"/>
    <s v="Low"/>
  </r>
  <r>
    <s v="Team A"/>
    <s v="Agent_5"/>
    <s v="Wednesday"/>
    <s v="Morning"/>
    <s v="3-6 months"/>
    <n v="55"/>
    <x v="61"/>
    <n v="0.05"/>
    <n v="0.81"/>
    <n v="4.24"/>
    <n v="1"/>
    <n v="24.92"/>
    <s v="Low"/>
  </r>
  <r>
    <s v="Team A"/>
    <s v="Agent_5"/>
    <s v="Wednesday"/>
    <s v="Afternoon"/>
    <s v="6+ months"/>
    <n v="70"/>
    <x v="62"/>
    <n v="0.12"/>
    <n v="0.85"/>
    <n v="3.81"/>
    <n v="0"/>
    <n v="21.18"/>
    <s v="Low"/>
  </r>
  <r>
    <s v="Team A"/>
    <s v="Agent_5"/>
    <s v="Wednesday"/>
    <s v="Evening"/>
    <s v="3-6 months"/>
    <n v="54"/>
    <x v="63"/>
    <n v="0.15"/>
    <n v="0.6"/>
    <n v="4.76"/>
    <n v="0"/>
    <n v="23.49"/>
    <s v="Low"/>
  </r>
  <r>
    <s v="Team A"/>
    <s v="Agent_5"/>
    <s v="Thursday"/>
    <s v="Morning"/>
    <s v="6+ months"/>
    <n v="50"/>
    <x v="64"/>
    <n v="0.15"/>
    <n v="0.76"/>
    <n v="4.22"/>
    <n v="3"/>
    <n v="30.69"/>
    <s v="High"/>
  </r>
  <r>
    <s v="Team A"/>
    <s v="Agent_5"/>
    <s v="Thursday"/>
    <s v="Afternoon"/>
    <s v="3-6 months"/>
    <n v="70"/>
    <x v="18"/>
    <n v="0.15"/>
    <n v="0.85"/>
    <n v="4"/>
    <n v="1"/>
    <n v="24.95"/>
    <s v="Low"/>
  </r>
  <r>
    <s v="Team A"/>
    <s v="Agent_5"/>
    <s v="Thursday"/>
    <s v="Evening"/>
    <s v="6+ months"/>
    <n v="39"/>
    <x v="65"/>
    <n v="0.14000000000000001"/>
    <n v="0.82"/>
    <n v="4.09"/>
    <n v="1"/>
    <n v="24.54"/>
    <s v="Low"/>
  </r>
  <r>
    <s v="Team A"/>
    <s v="Agent_5"/>
    <s v="Friday"/>
    <s v="Morning"/>
    <s v="0-3 months"/>
    <n v="57"/>
    <x v="66"/>
    <n v="0.11"/>
    <n v="0.79"/>
    <n v="3.97"/>
    <n v="0"/>
    <n v="22.18"/>
    <s v="Low"/>
  </r>
  <r>
    <s v="Team A"/>
    <s v="Agent_5"/>
    <s v="Friday"/>
    <s v="Afternoon"/>
    <s v="3-6 months"/>
    <n v="46"/>
    <x v="67"/>
    <n v="0.06"/>
    <n v="0.81"/>
    <n v="4.28"/>
    <n v="0"/>
    <n v="26.38"/>
    <s v="Low"/>
  </r>
  <r>
    <s v="Team A"/>
    <s v="Agent_5"/>
    <s v="Friday"/>
    <s v="Evening"/>
    <s v="0-3 months"/>
    <n v="64"/>
    <x v="33"/>
    <n v="0.15"/>
    <n v="0.83"/>
    <n v="4.63"/>
    <n v="0"/>
    <n v="25.11"/>
    <s v="Low"/>
  </r>
  <r>
    <s v="Team A"/>
    <s v="Agent_6"/>
    <s v="Monday"/>
    <s v="Morning"/>
    <s v="0-3 months"/>
    <n v="62"/>
    <x v="68"/>
    <n v="0.24"/>
    <n v="0.82"/>
    <n v="4.78"/>
    <n v="0"/>
    <n v="26.22"/>
    <s v="Low"/>
  </r>
  <r>
    <s v="Team A"/>
    <s v="Agent_6"/>
    <s v="Monday"/>
    <s v="Afternoon"/>
    <s v="6+ months"/>
    <n v="54"/>
    <x v="13"/>
    <n v="7.0000000000000007E-2"/>
    <n v="0.79"/>
    <n v="3.57"/>
    <n v="2"/>
    <n v="27.84"/>
    <s v="High"/>
  </r>
  <r>
    <s v="Team A"/>
    <s v="Agent_6"/>
    <s v="Monday"/>
    <s v="Evening"/>
    <s v="6+ months"/>
    <n v="60"/>
    <x v="69"/>
    <n v="0.12"/>
    <n v="0.83"/>
    <n v="4.26"/>
    <n v="1"/>
    <n v="27.86"/>
    <s v="High"/>
  </r>
  <r>
    <s v="Team A"/>
    <s v="Agent_6"/>
    <s v="Tuesday"/>
    <s v="Morning"/>
    <s v="6+ months"/>
    <n v="48"/>
    <x v="70"/>
    <n v="0.04"/>
    <n v="0.89"/>
    <n v="4.29"/>
    <n v="0"/>
    <n v="23.54"/>
    <s v="Low"/>
  </r>
  <r>
    <s v="Team A"/>
    <s v="Agent_6"/>
    <s v="Tuesday"/>
    <s v="Afternoon"/>
    <s v="3-6 months"/>
    <n v="61"/>
    <x v="71"/>
    <n v="0.03"/>
    <n v="0.79"/>
    <n v="3.53"/>
    <n v="0"/>
    <n v="21.6"/>
    <s v="Low"/>
  </r>
  <r>
    <s v="Team A"/>
    <s v="Agent_6"/>
    <s v="Tuesday"/>
    <s v="Evening"/>
    <s v="3-6 months"/>
    <n v="32"/>
    <x v="72"/>
    <n v="0.09"/>
    <n v="0.74"/>
    <n v="4.6399999999999997"/>
    <n v="0"/>
    <n v="25.77"/>
    <s v="Low"/>
  </r>
  <r>
    <s v="Team A"/>
    <s v="Agent_6"/>
    <s v="Wednesday"/>
    <s v="Morning"/>
    <s v="0-3 months"/>
    <n v="76"/>
    <x v="73"/>
    <n v="0.16"/>
    <n v="0.87"/>
    <n v="4.33"/>
    <n v="2"/>
    <n v="28.1"/>
    <s v="High"/>
  </r>
  <r>
    <s v="Team A"/>
    <s v="Agent_6"/>
    <s v="Wednesday"/>
    <s v="Afternoon"/>
    <s v="6+ months"/>
    <n v="63"/>
    <x v="50"/>
    <n v="7.0000000000000007E-2"/>
    <n v="0.82"/>
    <n v="4.68"/>
    <n v="0"/>
    <n v="25.59"/>
    <s v="Low"/>
  </r>
  <r>
    <s v="Team A"/>
    <s v="Agent_6"/>
    <s v="Wednesday"/>
    <s v="Evening"/>
    <s v="3-6 months"/>
    <n v="53"/>
    <x v="74"/>
    <n v="0.14000000000000001"/>
    <n v="0.67"/>
    <n v="4.18"/>
    <n v="1"/>
    <n v="23.36"/>
    <s v="Low"/>
  </r>
  <r>
    <s v="Team A"/>
    <s v="Agent_6"/>
    <s v="Thursday"/>
    <s v="Morning"/>
    <s v="6+ months"/>
    <n v="39"/>
    <x v="75"/>
    <n v="0.05"/>
    <n v="0.82"/>
    <n v="4.7699999999999996"/>
    <n v="0"/>
    <n v="23.98"/>
    <s v="Low"/>
  </r>
  <r>
    <s v="Team A"/>
    <s v="Agent_6"/>
    <s v="Thursday"/>
    <s v="Afternoon"/>
    <s v="3-6 months"/>
    <n v="72"/>
    <x v="76"/>
    <n v="0.1"/>
    <n v="0.8"/>
    <n v="4.2"/>
    <n v="0"/>
    <n v="25.2"/>
    <s v="Low"/>
  </r>
  <r>
    <s v="Team A"/>
    <s v="Agent_6"/>
    <s v="Thursday"/>
    <s v="Evening"/>
    <s v="3-6 months"/>
    <n v="40"/>
    <x v="77"/>
    <n v="0.04"/>
    <n v="0.69"/>
    <n v="4.67"/>
    <n v="0"/>
    <n v="24.56"/>
    <s v="Low"/>
  </r>
  <r>
    <s v="Team A"/>
    <s v="Agent_6"/>
    <s v="Friday"/>
    <s v="Morning"/>
    <s v="3-6 months"/>
    <n v="79"/>
    <x v="78"/>
    <n v="0.1"/>
    <n v="0.78"/>
    <n v="4.57"/>
    <n v="0"/>
    <n v="22.59"/>
    <s v="Low"/>
  </r>
  <r>
    <s v="Team A"/>
    <s v="Agent_6"/>
    <s v="Friday"/>
    <s v="Afternoon"/>
    <s v="3-6 months"/>
    <n v="51"/>
    <x v="79"/>
    <n v="7.0000000000000007E-2"/>
    <n v="0.83"/>
    <n v="4.4000000000000004"/>
    <n v="0"/>
    <n v="21.86"/>
    <s v="Low"/>
  </r>
  <r>
    <s v="Team A"/>
    <s v="Agent_6"/>
    <s v="Friday"/>
    <s v="Evening"/>
    <s v="6+ months"/>
    <n v="51"/>
    <x v="80"/>
    <n v="0.03"/>
    <n v="0.82"/>
    <n v="4.7"/>
    <n v="0"/>
    <n v="23.72"/>
    <s v="Low"/>
  </r>
  <r>
    <s v="Team A"/>
    <s v="Agent_7"/>
    <s v="Monday"/>
    <s v="Morning"/>
    <s v="0-3 months"/>
    <n v="30"/>
    <x v="81"/>
    <n v="0.3"/>
    <n v="0.83"/>
    <n v="4.7"/>
    <n v="0"/>
    <n v="24.27"/>
    <s v="Low"/>
  </r>
  <r>
    <s v="Team A"/>
    <s v="Agent_7"/>
    <s v="Monday"/>
    <s v="Afternoon"/>
    <s v="6+ months"/>
    <n v="43"/>
    <x v="82"/>
    <n v="0.08"/>
    <n v="0.86"/>
    <n v="3.55"/>
    <n v="0"/>
    <n v="22.83"/>
    <s v="Low"/>
  </r>
  <r>
    <s v="Team A"/>
    <s v="Agent_7"/>
    <s v="Monday"/>
    <s v="Evening"/>
    <s v="6+ months"/>
    <n v="76"/>
    <x v="83"/>
    <n v="0.02"/>
    <n v="0.82"/>
    <n v="3.96"/>
    <n v="0"/>
    <n v="24.7"/>
    <s v="Low"/>
  </r>
  <r>
    <s v="Team A"/>
    <s v="Agent_7"/>
    <s v="Tuesday"/>
    <s v="Morning"/>
    <s v="0-3 months"/>
    <n v="66"/>
    <x v="84"/>
    <n v="0.1"/>
    <n v="0.83"/>
    <n v="4.59"/>
    <n v="0"/>
    <n v="24.98"/>
    <s v="Low"/>
  </r>
  <r>
    <s v="Team A"/>
    <s v="Agent_7"/>
    <s v="Tuesday"/>
    <s v="Afternoon"/>
    <s v="3-6 months"/>
    <n v="54"/>
    <x v="85"/>
    <n v="0.11"/>
    <n v="0.87"/>
    <n v="4.1500000000000004"/>
    <n v="0"/>
    <n v="24.33"/>
    <s v="Low"/>
  </r>
  <r>
    <s v="Team A"/>
    <s v="Agent_7"/>
    <s v="Tuesday"/>
    <s v="Evening"/>
    <s v="3-6 months"/>
    <n v="63"/>
    <x v="86"/>
    <n v="0.09"/>
    <n v="0.75"/>
    <n v="4.2300000000000004"/>
    <n v="0"/>
    <n v="25.36"/>
    <s v="Low"/>
  </r>
  <r>
    <s v="Team A"/>
    <s v="Agent_7"/>
    <s v="Wednesday"/>
    <s v="Morning"/>
    <s v="3-6 months"/>
    <n v="55"/>
    <x v="87"/>
    <n v="0.08"/>
    <n v="0.8"/>
    <n v="4.71"/>
    <n v="0"/>
    <n v="21.87"/>
    <s v="Low"/>
  </r>
  <r>
    <s v="Team A"/>
    <s v="Agent_7"/>
    <s v="Wednesday"/>
    <s v="Afternoon"/>
    <s v="0-3 months"/>
    <n v="35"/>
    <x v="88"/>
    <n v="0.11"/>
    <n v="0.77"/>
    <n v="3.74"/>
    <n v="0"/>
    <n v="24.9"/>
    <s v="Low"/>
  </r>
  <r>
    <s v="Team A"/>
    <s v="Agent_7"/>
    <s v="Wednesday"/>
    <s v="Evening"/>
    <s v="0-3 months"/>
    <n v="38"/>
    <x v="89"/>
    <n v="0.15"/>
    <n v="0.85"/>
    <n v="3.65"/>
    <n v="0"/>
    <n v="24.08"/>
    <s v="Low"/>
  </r>
  <r>
    <s v="Team A"/>
    <s v="Agent_7"/>
    <s v="Thursday"/>
    <s v="Morning"/>
    <s v="6+ months"/>
    <n v="33"/>
    <x v="90"/>
    <n v="0.02"/>
    <n v="0.9"/>
    <n v="4.1399999999999997"/>
    <n v="1"/>
    <n v="24.76"/>
    <s v="Low"/>
  </r>
  <r>
    <s v="Team A"/>
    <s v="Agent_7"/>
    <s v="Thursday"/>
    <s v="Afternoon"/>
    <s v="6+ months"/>
    <n v="31"/>
    <x v="91"/>
    <n v="0.06"/>
    <n v="0.87"/>
    <n v="3.74"/>
    <n v="0"/>
    <n v="27.06"/>
    <s v="Low"/>
  </r>
  <r>
    <s v="Team A"/>
    <s v="Agent_7"/>
    <s v="Thursday"/>
    <s v="Evening"/>
    <s v="3-6 months"/>
    <n v="62"/>
    <x v="92"/>
    <n v="0.12"/>
    <n v="0.73"/>
    <n v="4.42"/>
    <n v="1"/>
    <n v="28.43"/>
    <s v="High"/>
  </r>
  <r>
    <s v="Team A"/>
    <s v="Agent_7"/>
    <s v="Friday"/>
    <s v="Morning"/>
    <s v="0-3 months"/>
    <n v="40"/>
    <x v="93"/>
    <n v="0.2"/>
    <n v="0.81"/>
    <n v="4.09"/>
    <n v="0"/>
    <n v="23.7"/>
    <s v="Low"/>
  </r>
  <r>
    <s v="Team A"/>
    <s v="Agent_7"/>
    <s v="Friday"/>
    <s v="Afternoon"/>
    <s v="3-6 months"/>
    <n v="31"/>
    <x v="22"/>
    <n v="0.06"/>
    <n v="0.87"/>
    <n v="3.83"/>
    <n v="1"/>
    <n v="26.72"/>
    <s v="Low"/>
  </r>
  <r>
    <s v="Team A"/>
    <s v="Agent_7"/>
    <s v="Friday"/>
    <s v="Evening"/>
    <s v="6+ months"/>
    <n v="40"/>
    <x v="94"/>
    <n v="0.12"/>
    <n v="0.63"/>
    <n v="4.6100000000000003"/>
    <n v="1"/>
    <n v="29.58"/>
    <s v="High"/>
  </r>
  <r>
    <s v="Team A"/>
    <s v="Agent_8"/>
    <s v="Monday"/>
    <s v="Morning"/>
    <s v="3-6 months"/>
    <n v="40"/>
    <x v="95"/>
    <n v="0.14000000000000001"/>
    <n v="0.78"/>
    <n v="3.59"/>
    <n v="1"/>
    <n v="25.1"/>
    <s v="Low"/>
  </r>
  <r>
    <s v="Team A"/>
    <s v="Agent_8"/>
    <s v="Monday"/>
    <s v="Afternoon"/>
    <s v="3-6 months"/>
    <n v="58"/>
    <x v="96"/>
    <n v="0.05"/>
    <n v="0.77"/>
    <n v="3.71"/>
    <n v="2"/>
    <n v="28.51"/>
    <s v="High"/>
  </r>
  <r>
    <s v="Team A"/>
    <s v="Agent_8"/>
    <s v="Monday"/>
    <s v="Evening"/>
    <s v="3-6 months"/>
    <n v="55"/>
    <x v="97"/>
    <n v="0.14000000000000001"/>
    <n v="0.68"/>
    <n v="4.26"/>
    <n v="1"/>
    <n v="25.38"/>
    <s v="Low"/>
  </r>
  <r>
    <s v="Team A"/>
    <s v="Agent_8"/>
    <s v="Tuesday"/>
    <s v="Morning"/>
    <s v="3-6 months"/>
    <n v="69"/>
    <x v="98"/>
    <n v="0.06"/>
    <n v="0.86"/>
    <n v="4.1500000000000004"/>
    <n v="0"/>
    <n v="22.98"/>
    <s v="Low"/>
  </r>
  <r>
    <s v="Team A"/>
    <s v="Agent_8"/>
    <s v="Tuesday"/>
    <s v="Afternoon"/>
    <s v="6+ months"/>
    <n v="31"/>
    <x v="99"/>
    <n v="0.09"/>
    <n v="0.89"/>
    <n v="4.3099999999999996"/>
    <n v="0"/>
    <n v="20.66"/>
    <s v="Low"/>
  </r>
  <r>
    <s v="Team A"/>
    <s v="Agent_8"/>
    <s v="Tuesday"/>
    <s v="Evening"/>
    <s v="6+ months"/>
    <n v="36"/>
    <x v="100"/>
    <n v="0.04"/>
    <n v="0.82"/>
    <n v="4.1399999999999997"/>
    <n v="1"/>
    <n v="27.38"/>
    <s v="Low"/>
  </r>
  <r>
    <s v="Team A"/>
    <s v="Agent_8"/>
    <s v="Wednesday"/>
    <s v="Morning"/>
    <s v="3-6 months"/>
    <n v="58"/>
    <x v="101"/>
    <n v="0.04"/>
    <n v="0.8"/>
    <n v="3.82"/>
    <n v="1"/>
    <n v="27.64"/>
    <s v="Low"/>
  </r>
  <r>
    <s v="Team A"/>
    <s v="Agent_8"/>
    <s v="Wednesday"/>
    <s v="Afternoon"/>
    <s v="0-3 months"/>
    <n v="51"/>
    <x v="40"/>
    <n v="0.24"/>
    <n v="0.77"/>
    <n v="4.2"/>
    <n v="0"/>
    <n v="23.92"/>
    <s v="Low"/>
  </r>
  <r>
    <s v="Team A"/>
    <s v="Agent_8"/>
    <s v="Wednesday"/>
    <s v="Evening"/>
    <s v="3-6 months"/>
    <n v="44"/>
    <x v="102"/>
    <n v="0.12"/>
    <n v="0.64"/>
    <n v="3.8"/>
    <n v="1"/>
    <n v="28.76"/>
    <s v="High"/>
  </r>
  <r>
    <s v="Team A"/>
    <s v="Agent_8"/>
    <s v="Thursday"/>
    <s v="Morning"/>
    <s v="6+ months"/>
    <n v="60"/>
    <x v="103"/>
    <n v="0.11"/>
    <n v="0.84"/>
    <n v="4.57"/>
    <n v="3"/>
    <n v="32"/>
    <s v="High"/>
  </r>
  <r>
    <s v="Team A"/>
    <s v="Agent_8"/>
    <s v="Thursday"/>
    <s v="Afternoon"/>
    <s v="3-6 months"/>
    <n v="35"/>
    <x v="104"/>
    <n v="7.0000000000000007E-2"/>
    <n v="0.82"/>
    <n v="4.7300000000000004"/>
    <n v="0"/>
    <n v="27"/>
    <s v="Low"/>
  </r>
  <r>
    <s v="Team A"/>
    <s v="Agent_8"/>
    <s v="Thursday"/>
    <s v="Evening"/>
    <s v="3-6 months"/>
    <n v="47"/>
    <x v="93"/>
    <n v="0.13"/>
    <n v="0.83"/>
    <n v="4.2300000000000004"/>
    <n v="1"/>
    <n v="25.7"/>
    <s v="Low"/>
  </r>
  <r>
    <s v="Team A"/>
    <s v="Agent_8"/>
    <s v="Friday"/>
    <s v="Morning"/>
    <s v="6+ months"/>
    <n v="37"/>
    <x v="89"/>
    <n v="0.1"/>
    <n v="0.87"/>
    <n v="3.99"/>
    <n v="0"/>
    <n v="24.08"/>
    <s v="Low"/>
  </r>
  <r>
    <s v="Team A"/>
    <s v="Agent_8"/>
    <s v="Friday"/>
    <s v="Afternoon"/>
    <s v="0-3 months"/>
    <n v="43"/>
    <x v="105"/>
    <n v="0.3"/>
    <n v="0.88"/>
    <n v="3.66"/>
    <n v="2"/>
    <n v="26.52"/>
    <s v="Low"/>
  </r>
  <r>
    <s v="Team A"/>
    <s v="Agent_8"/>
    <s v="Friday"/>
    <s v="Evening"/>
    <s v="6+ months"/>
    <n v="69"/>
    <x v="56"/>
    <n v="0.1"/>
    <n v="0.69"/>
    <n v="4.47"/>
    <n v="0"/>
    <n v="23.8"/>
    <s v="Low"/>
  </r>
  <r>
    <s v="Team A"/>
    <s v="Agent_9"/>
    <s v="Monday"/>
    <s v="Morning"/>
    <s v="6+ months"/>
    <n v="55"/>
    <x v="106"/>
    <n v="0.09"/>
    <n v="0.89"/>
    <n v="3.95"/>
    <n v="0"/>
    <n v="22.48"/>
    <s v="Low"/>
  </r>
  <r>
    <s v="Team A"/>
    <s v="Agent_9"/>
    <s v="Monday"/>
    <s v="Afternoon"/>
    <s v="6+ months"/>
    <n v="46"/>
    <x v="107"/>
    <n v="0.1"/>
    <n v="0.75"/>
    <n v="4.6900000000000004"/>
    <n v="0"/>
    <n v="21.52"/>
    <s v="Low"/>
  </r>
  <r>
    <s v="Team A"/>
    <s v="Agent_9"/>
    <s v="Monday"/>
    <s v="Evening"/>
    <s v="3-6 months"/>
    <n v="35"/>
    <x v="61"/>
    <n v="0.05"/>
    <n v="0.65"/>
    <n v="4.17"/>
    <n v="3"/>
    <n v="28.92"/>
    <s v="High"/>
  </r>
  <r>
    <s v="Team A"/>
    <s v="Agent_9"/>
    <s v="Tuesday"/>
    <s v="Morning"/>
    <s v="3-6 months"/>
    <n v="49"/>
    <x v="86"/>
    <n v="7.0000000000000007E-2"/>
    <n v="0.76"/>
    <n v="4.8"/>
    <n v="0"/>
    <n v="25.36"/>
    <s v="Low"/>
  </r>
  <r>
    <s v="Team A"/>
    <s v="Agent_9"/>
    <s v="Tuesday"/>
    <s v="Afternoon"/>
    <s v="3-6 months"/>
    <n v="42"/>
    <x v="108"/>
    <n v="0.12"/>
    <n v="0.8"/>
    <n v="4.1100000000000003"/>
    <n v="1"/>
    <n v="23.96"/>
    <s v="Low"/>
  </r>
  <r>
    <s v="Team A"/>
    <s v="Agent_9"/>
    <s v="Tuesday"/>
    <s v="Evening"/>
    <s v="3-6 months"/>
    <n v="45"/>
    <x v="109"/>
    <n v="0.09"/>
    <n v="0.62"/>
    <n v="4.51"/>
    <n v="0"/>
    <n v="21.14"/>
    <s v="Low"/>
  </r>
  <r>
    <s v="Team A"/>
    <s v="Agent_9"/>
    <s v="Wednesday"/>
    <s v="Morning"/>
    <s v="3-6 months"/>
    <n v="57"/>
    <x v="110"/>
    <n v="0.12"/>
    <n v="0.77"/>
    <n v="3.93"/>
    <n v="0"/>
    <n v="23.16"/>
    <s v="Low"/>
  </r>
  <r>
    <s v="Team A"/>
    <s v="Agent_9"/>
    <s v="Wednesday"/>
    <s v="Afternoon"/>
    <s v="6+ months"/>
    <n v="39"/>
    <x v="111"/>
    <n v="0.06"/>
    <n v="0.85"/>
    <n v="4.03"/>
    <n v="0"/>
    <n v="18.64"/>
    <s v="Low"/>
  </r>
  <r>
    <s v="Team A"/>
    <s v="Agent_9"/>
    <s v="Wednesday"/>
    <s v="Evening"/>
    <s v="0-3 months"/>
    <n v="79"/>
    <x v="23"/>
    <n v="0.19"/>
    <n v="0.66"/>
    <n v="3.75"/>
    <n v="0"/>
    <n v="23.61"/>
    <s v="Low"/>
  </r>
  <r>
    <s v="Team A"/>
    <s v="Agent_9"/>
    <s v="Thursday"/>
    <s v="Morning"/>
    <s v="3-6 months"/>
    <n v="76"/>
    <x v="112"/>
    <n v="0.09"/>
    <n v="0.88"/>
    <n v="4.22"/>
    <n v="1"/>
    <n v="27.53"/>
    <s v="Low"/>
  </r>
  <r>
    <s v="Team A"/>
    <s v="Agent_9"/>
    <s v="Thursday"/>
    <s v="Afternoon"/>
    <s v="6+ months"/>
    <n v="53"/>
    <x v="113"/>
    <n v="0.13"/>
    <n v="0.81"/>
    <n v="4.37"/>
    <n v="0"/>
    <n v="25.06"/>
    <s v="Low"/>
  </r>
  <r>
    <s v="Team A"/>
    <s v="Agent_9"/>
    <s v="Thursday"/>
    <s v="Evening"/>
    <s v="0-3 months"/>
    <n v="77"/>
    <x v="114"/>
    <n v="7.0000000000000007E-2"/>
    <n v="0.76"/>
    <n v="4.46"/>
    <n v="2"/>
    <n v="28.66"/>
    <s v="High"/>
  </r>
  <r>
    <s v="Team A"/>
    <s v="Agent_9"/>
    <s v="Friday"/>
    <s v="Morning"/>
    <s v="0-3 months"/>
    <n v="48"/>
    <x v="115"/>
    <n v="0.27"/>
    <n v="0.87"/>
    <n v="3.94"/>
    <n v="0"/>
    <n v="21.5"/>
    <s v="Low"/>
  </r>
  <r>
    <s v="Team A"/>
    <s v="Agent_9"/>
    <s v="Friday"/>
    <s v="Afternoon"/>
    <s v="3-6 months"/>
    <n v="52"/>
    <x v="116"/>
    <n v="0.02"/>
    <n v="0.87"/>
    <n v="3.95"/>
    <n v="1"/>
    <n v="28.64"/>
    <s v="High"/>
  </r>
  <r>
    <s v="Team A"/>
    <s v="Agent_9"/>
    <s v="Friday"/>
    <s v="Evening"/>
    <s v="3-6 months"/>
    <n v="73"/>
    <x v="117"/>
    <n v="0.09"/>
    <n v="0.85"/>
    <n v="4.1100000000000003"/>
    <n v="0"/>
    <n v="23.46"/>
    <s v="Low"/>
  </r>
  <r>
    <s v="Team A"/>
    <s v="Agent_10"/>
    <s v="Monday"/>
    <s v="Morning"/>
    <s v="3-6 months"/>
    <n v="46"/>
    <x v="37"/>
    <n v="0.05"/>
    <n v="0.83"/>
    <n v="4.32"/>
    <n v="0"/>
    <n v="24.39"/>
    <s v="Low"/>
  </r>
  <r>
    <s v="Team A"/>
    <s v="Agent_10"/>
    <s v="Monday"/>
    <s v="Afternoon"/>
    <s v="0-3 months"/>
    <n v="72"/>
    <x v="118"/>
    <n v="0.28000000000000003"/>
    <n v="0.85"/>
    <n v="4.3899999999999997"/>
    <n v="2"/>
    <n v="26.44"/>
    <s v="Low"/>
  </r>
  <r>
    <s v="Team A"/>
    <s v="Agent_10"/>
    <s v="Monday"/>
    <s v="Evening"/>
    <s v="3-6 months"/>
    <n v="71"/>
    <x v="119"/>
    <n v="0.09"/>
    <n v="0.67"/>
    <n v="4.22"/>
    <n v="1"/>
    <n v="25.67"/>
    <s v="Low"/>
  </r>
  <r>
    <s v="Team A"/>
    <s v="Agent_10"/>
    <s v="Tuesday"/>
    <s v="Morning"/>
    <s v="6+ months"/>
    <n v="52"/>
    <x v="12"/>
    <n v="0.12"/>
    <n v="0.79"/>
    <n v="4.32"/>
    <n v="0"/>
    <n v="22.65"/>
    <s v="Low"/>
  </r>
  <r>
    <s v="Team A"/>
    <s v="Agent_10"/>
    <s v="Tuesday"/>
    <s v="Afternoon"/>
    <s v="3-6 months"/>
    <n v="46"/>
    <x v="26"/>
    <n v="7.0000000000000007E-2"/>
    <n v="0.81"/>
    <n v="4.17"/>
    <n v="0"/>
    <n v="22.64"/>
    <s v="Low"/>
  </r>
  <r>
    <s v="Team A"/>
    <s v="Agent_10"/>
    <s v="Tuesday"/>
    <s v="Evening"/>
    <s v="0-3 months"/>
    <n v="72"/>
    <x v="120"/>
    <n v="0.28000000000000003"/>
    <n v="0.78"/>
    <n v="4.29"/>
    <n v="2"/>
    <n v="27.66"/>
    <s v="Low"/>
  </r>
  <r>
    <s v="Team A"/>
    <s v="Agent_10"/>
    <s v="Wednesday"/>
    <s v="Morning"/>
    <s v="3-6 months"/>
    <n v="53"/>
    <x v="121"/>
    <n v="0.14000000000000001"/>
    <n v="0.86"/>
    <n v="3.78"/>
    <n v="0"/>
    <n v="25.82"/>
    <s v="Low"/>
  </r>
  <r>
    <s v="Team A"/>
    <s v="Agent_10"/>
    <s v="Wednesday"/>
    <s v="Afternoon"/>
    <s v="0-3 months"/>
    <n v="64"/>
    <x v="122"/>
    <n v="0.28999999999999998"/>
    <n v="0.77"/>
    <n v="4.3099999999999996"/>
    <n v="0"/>
    <n v="24.36"/>
    <s v="Low"/>
  </r>
  <r>
    <s v="Team A"/>
    <s v="Agent_10"/>
    <s v="Wednesday"/>
    <s v="Evening"/>
    <s v="3-6 months"/>
    <n v="69"/>
    <x v="123"/>
    <n v="0.11"/>
    <n v="0.72"/>
    <n v="4.3899999999999997"/>
    <n v="0"/>
    <n v="24.34"/>
    <s v="Low"/>
  </r>
  <r>
    <s v="Team A"/>
    <s v="Agent_10"/>
    <s v="Thursday"/>
    <s v="Morning"/>
    <s v="0-3 months"/>
    <n v="32"/>
    <x v="70"/>
    <n v="0.25"/>
    <n v="0.89"/>
    <n v="4.53"/>
    <n v="1"/>
    <n v="25.54"/>
    <s v="Low"/>
  </r>
  <r>
    <s v="Team A"/>
    <s v="Agent_10"/>
    <s v="Thursday"/>
    <s v="Afternoon"/>
    <s v="3-6 months"/>
    <n v="41"/>
    <x v="124"/>
    <n v="0.09"/>
    <n v="0.88"/>
    <n v="4.45"/>
    <n v="2"/>
    <n v="27.01"/>
    <s v="Low"/>
  </r>
  <r>
    <s v="Team A"/>
    <s v="Agent_10"/>
    <s v="Thursday"/>
    <s v="Evening"/>
    <s v="3-6 months"/>
    <n v="45"/>
    <x v="125"/>
    <n v="0.08"/>
    <n v="0.66"/>
    <n v="4.78"/>
    <n v="2"/>
    <n v="27.32"/>
    <s v="Low"/>
  </r>
  <r>
    <s v="Team A"/>
    <s v="Agent_10"/>
    <s v="Friday"/>
    <s v="Morning"/>
    <s v="0-3 months"/>
    <n v="39"/>
    <x v="126"/>
    <n v="0.2"/>
    <n v="0.9"/>
    <n v="4.22"/>
    <n v="0"/>
    <n v="24.94"/>
    <s v="Low"/>
  </r>
  <r>
    <s v="Team A"/>
    <s v="Agent_10"/>
    <s v="Friday"/>
    <s v="Afternoon"/>
    <s v="3-6 months"/>
    <n v="44"/>
    <x v="127"/>
    <n v="0.14000000000000001"/>
    <n v="0.9"/>
    <n v="4.7300000000000004"/>
    <n v="0"/>
    <n v="22.38"/>
    <s v="Low"/>
  </r>
  <r>
    <s v="Team A"/>
    <s v="Agent_10"/>
    <s v="Friday"/>
    <s v="Evening"/>
    <s v="6+ months"/>
    <n v="68"/>
    <x v="128"/>
    <n v="0.08"/>
    <n v="0.73"/>
    <n v="4.34"/>
    <n v="1"/>
    <n v="27.58"/>
    <s v="Low"/>
  </r>
  <r>
    <s v="Team B"/>
    <s v="Agent_1"/>
    <s v="Monday"/>
    <s v="Morning"/>
    <s v="3-6 months"/>
    <n v="73"/>
    <x v="64"/>
    <n v="0.11"/>
    <n v="0.76"/>
    <n v="3.91"/>
    <n v="0"/>
    <n v="24.69"/>
    <s v="Low"/>
  </r>
  <r>
    <s v="Team B"/>
    <s v="Agent_1"/>
    <s v="Monday"/>
    <s v="Afternoon"/>
    <s v="6+ months"/>
    <n v="54"/>
    <x v="129"/>
    <n v="0.12"/>
    <n v="0.83"/>
    <n v="4.05"/>
    <n v="2"/>
    <n v="32.17"/>
    <s v="High"/>
  </r>
  <r>
    <s v="Team B"/>
    <s v="Agent_1"/>
    <s v="Monday"/>
    <s v="Evening"/>
    <s v="3-6 months"/>
    <n v="64"/>
    <x v="130"/>
    <n v="0.14000000000000001"/>
    <n v="0.8"/>
    <n v="4.8"/>
    <n v="0"/>
    <n v="26.37"/>
    <s v="Low"/>
  </r>
  <r>
    <s v="Team B"/>
    <s v="Agent_1"/>
    <s v="Tuesday"/>
    <s v="Morning"/>
    <s v="6+ months"/>
    <n v="58"/>
    <x v="131"/>
    <n v="0.02"/>
    <n v="0.82"/>
    <n v="4.25"/>
    <n v="0"/>
    <n v="27.86"/>
    <s v="High"/>
  </r>
  <r>
    <s v="Team B"/>
    <s v="Agent_1"/>
    <s v="Tuesday"/>
    <s v="Afternoon"/>
    <s v="3-6 months"/>
    <n v="59"/>
    <x v="132"/>
    <n v="0.12"/>
    <n v="0.79"/>
    <n v="3.64"/>
    <n v="0"/>
    <n v="23.73"/>
    <s v="Low"/>
  </r>
  <r>
    <s v="Team B"/>
    <s v="Agent_1"/>
    <s v="Tuesday"/>
    <s v="Evening"/>
    <s v="0-3 months"/>
    <n v="33"/>
    <x v="23"/>
    <n v="0.23"/>
    <n v="0.75"/>
    <n v="3.86"/>
    <n v="2"/>
    <n v="27.61"/>
    <s v="Low"/>
  </r>
  <r>
    <s v="Team B"/>
    <s v="Agent_1"/>
    <s v="Wednesday"/>
    <s v="Morning"/>
    <s v="0-3 months"/>
    <n v="44"/>
    <x v="133"/>
    <n v="0.1"/>
    <n v="0.89"/>
    <n v="4.5199999999999996"/>
    <n v="0"/>
    <n v="28.58"/>
    <s v="High"/>
  </r>
  <r>
    <s v="Team B"/>
    <s v="Agent_1"/>
    <s v="Wednesday"/>
    <s v="Afternoon"/>
    <s v="3-6 months"/>
    <n v="75"/>
    <x v="49"/>
    <n v="0.1"/>
    <n v="0.89"/>
    <n v="4.79"/>
    <n v="1"/>
    <n v="26.75"/>
    <s v="Low"/>
  </r>
  <r>
    <s v="Team B"/>
    <s v="Agent_1"/>
    <s v="Wednesday"/>
    <s v="Evening"/>
    <s v="0-3 months"/>
    <n v="37"/>
    <x v="134"/>
    <n v="0.2"/>
    <n v="0.73"/>
    <n v="3.8"/>
    <n v="0"/>
    <n v="26.5"/>
    <s v="Low"/>
  </r>
  <r>
    <s v="Team B"/>
    <s v="Agent_1"/>
    <s v="Thursday"/>
    <s v="Morning"/>
    <s v="0-3 months"/>
    <n v="78"/>
    <x v="135"/>
    <n v="0.28999999999999998"/>
    <n v="0.87"/>
    <n v="4.54"/>
    <n v="1"/>
    <n v="28.98"/>
    <s v="High"/>
  </r>
  <r>
    <s v="Team B"/>
    <s v="Agent_1"/>
    <s v="Thursday"/>
    <s v="Afternoon"/>
    <s v="0-3 months"/>
    <n v="38"/>
    <x v="136"/>
    <n v="0.24"/>
    <n v="0.85"/>
    <n v="3.7"/>
    <n v="2"/>
    <n v="29.7"/>
    <s v="High"/>
  </r>
  <r>
    <s v="Team B"/>
    <s v="Agent_1"/>
    <s v="Thursday"/>
    <s v="Evening"/>
    <s v="0-3 months"/>
    <n v="76"/>
    <x v="137"/>
    <n v="0.06"/>
    <n v="0.82"/>
    <n v="4.62"/>
    <n v="0"/>
    <n v="24.5"/>
    <s v="Low"/>
  </r>
  <r>
    <s v="Team B"/>
    <s v="Agent_1"/>
    <s v="Friday"/>
    <s v="Morning"/>
    <s v="3-6 months"/>
    <n v="57"/>
    <x v="138"/>
    <n v="0.13"/>
    <n v="0.76"/>
    <n v="3.93"/>
    <n v="2"/>
    <n v="29.35"/>
    <s v="High"/>
  </r>
  <r>
    <s v="Team B"/>
    <s v="Agent_1"/>
    <s v="Friday"/>
    <s v="Afternoon"/>
    <s v="6+ months"/>
    <n v="63"/>
    <x v="139"/>
    <n v="7.0000000000000007E-2"/>
    <n v="0.81"/>
    <n v="3.84"/>
    <n v="1"/>
    <n v="28.2"/>
    <s v="High"/>
  </r>
  <r>
    <s v="Team B"/>
    <s v="Agent_1"/>
    <s v="Friday"/>
    <s v="Evening"/>
    <s v="3-6 months"/>
    <n v="35"/>
    <x v="140"/>
    <n v="0.09"/>
    <n v="0.77"/>
    <n v="4.21"/>
    <n v="2"/>
    <n v="31.62"/>
    <s v="High"/>
  </r>
  <r>
    <s v="Team B"/>
    <s v="Agent_2"/>
    <s v="Monday"/>
    <s v="Morning"/>
    <s v="6+ months"/>
    <n v="53"/>
    <x v="3"/>
    <n v="0.12"/>
    <n v="0.85"/>
    <n v="4.6100000000000003"/>
    <n v="2"/>
    <n v="30.31"/>
    <s v="High"/>
  </r>
  <r>
    <s v="Team B"/>
    <s v="Agent_2"/>
    <s v="Monday"/>
    <s v="Afternoon"/>
    <s v="6+ months"/>
    <n v="72"/>
    <x v="141"/>
    <n v="0.04"/>
    <n v="0.88"/>
    <n v="4.75"/>
    <n v="0"/>
    <n v="26.73"/>
    <s v="Low"/>
  </r>
  <r>
    <s v="Team B"/>
    <s v="Agent_2"/>
    <s v="Monday"/>
    <s v="Evening"/>
    <s v="6+ months"/>
    <n v="71"/>
    <x v="142"/>
    <n v="0.04"/>
    <n v="0.68"/>
    <n v="4.47"/>
    <n v="0"/>
    <n v="25.3"/>
    <s v="Low"/>
  </r>
  <r>
    <s v="Team B"/>
    <s v="Agent_2"/>
    <s v="Tuesday"/>
    <s v="Morning"/>
    <s v="6+ months"/>
    <n v="43"/>
    <x v="143"/>
    <n v="0.05"/>
    <n v="0.76"/>
    <n v="3.92"/>
    <n v="0"/>
    <n v="25.04"/>
    <s v="Low"/>
  </r>
  <r>
    <s v="Team B"/>
    <s v="Agent_2"/>
    <s v="Tuesday"/>
    <s v="Afternoon"/>
    <s v="0-3 months"/>
    <n v="63"/>
    <x v="144"/>
    <n v="0.21"/>
    <n v="0.83"/>
    <n v="4.51"/>
    <n v="0"/>
    <n v="27.54"/>
    <s v="Low"/>
  </r>
  <r>
    <s v="Team B"/>
    <s v="Agent_2"/>
    <s v="Tuesday"/>
    <s v="Evening"/>
    <s v="6+ months"/>
    <n v="39"/>
    <x v="145"/>
    <n v="7.0000000000000007E-2"/>
    <n v="0.64"/>
    <n v="4.4800000000000004"/>
    <n v="1"/>
    <n v="30.04"/>
    <s v="High"/>
  </r>
  <r>
    <s v="Team B"/>
    <s v="Agent_2"/>
    <s v="Wednesday"/>
    <s v="Morning"/>
    <s v="0-3 months"/>
    <n v="65"/>
    <x v="146"/>
    <n v="7.0000000000000007E-2"/>
    <n v="0.8"/>
    <n v="4.42"/>
    <n v="0"/>
    <n v="25.89"/>
    <s v="Low"/>
  </r>
  <r>
    <s v="Team B"/>
    <s v="Agent_2"/>
    <s v="Wednesday"/>
    <s v="Afternoon"/>
    <s v="3-6 months"/>
    <n v="30"/>
    <x v="86"/>
    <n v="0.1"/>
    <n v="0.84"/>
    <n v="4"/>
    <n v="0"/>
    <n v="25.36"/>
    <s v="Low"/>
  </r>
  <r>
    <s v="Team B"/>
    <s v="Agent_2"/>
    <s v="Wednesday"/>
    <s v="Evening"/>
    <s v="6+ months"/>
    <n v="76"/>
    <x v="147"/>
    <n v="0.08"/>
    <n v="0.79"/>
    <n v="4.3899999999999997"/>
    <n v="0"/>
    <n v="29.12"/>
    <s v="High"/>
  </r>
  <r>
    <s v="Team B"/>
    <s v="Agent_2"/>
    <s v="Thursday"/>
    <s v="Morning"/>
    <s v="0-3 months"/>
    <n v="58"/>
    <x v="67"/>
    <n v="0.26"/>
    <n v="0.79"/>
    <n v="4.59"/>
    <n v="1"/>
    <n v="28.38"/>
    <s v="High"/>
  </r>
  <r>
    <s v="Team B"/>
    <s v="Agent_2"/>
    <s v="Thursday"/>
    <s v="Afternoon"/>
    <s v="0-3 months"/>
    <n v="40"/>
    <x v="148"/>
    <n v="0.12"/>
    <n v="0.89"/>
    <n v="3.7"/>
    <n v="0"/>
    <n v="28"/>
    <s v="High"/>
  </r>
  <r>
    <s v="Team B"/>
    <s v="Agent_2"/>
    <s v="Thursday"/>
    <s v="Evening"/>
    <s v="6+ months"/>
    <n v="45"/>
    <x v="149"/>
    <n v="0.06"/>
    <n v="0.68"/>
    <n v="4.4400000000000004"/>
    <n v="1"/>
    <n v="27.74"/>
    <s v="High"/>
  </r>
  <r>
    <s v="Team B"/>
    <s v="Agent_2"/>
    <s v="Friday"/>
    <s v="Morning"/>
    <s v="0-3 months"/>
    <n v="78"/>
    <x v="133"/>
    <n v="0.21"/>
    <n v="0.81"/>
    <n v="4.62"/>
    <n v="0"/>
    <n v="28.58"/>
    <s v="High"/>
  </r>
  <r>
    <s v="Team B"/>
    <s v="Agent_2"/>
    <s v="Friday"/>
    <s v="Afternoon"/>
    <s v="6+ months"/>
    <n v="75"/>
    <x v="150"/>
    <n v="0.09"/>
    <n v="0.75"/>
    <n v="4.54"/>
    <n v="0"/>
    <n v="26.01"/>
    <s v="Low"/>
  </r>
  <r>
    <s v="Team B"/>
    <s v="Agent_2"/>
    <s v="Friday"/>
    <s v="Evening"/>
    <s v="6+ months"/>
    <n v="32"/>
    <x v="151"/>
    <n v="0.04"/>
    <n v="0.72"/>
    <n v="3.5"/>
    <n v="0"/>
    <n v="24.46"/>
    <s v="Low"/>
  </r>
  <r>
    <s v="Team B"/>
    <s v="Agent_3"/>
    <s v="Monday"/>
    <s v="Morning"/>
    <s v="3-6 months"/>
    <n v="49"/>
    <x v="152"/>
    <n v="0.08"/>
    <n v="0.76"/>
    <n v="4.26"/>
    <n v="0"/>
    <n v="24.21"/>
    <s v="Low"/>
  </r>
  <r>
    <s v="Team B"/>
    <s v="Agent_3"/>
    <s v="Monday"/>
    <s v="Afternoon"/>
    <s v="6+ months"/>
    <n v="40"/>
    <x v="72"/>
    <n v="0.15"/>
    <n v="0.77"/>
    <n v="4.0999999999999996"/>
    <n v="1"/>
    <n v="27.77"/>
    <s v="High"/>
  </r>
  <r>
    <s v="Team B"/>
    <s v="Agent_3"/>
    <s v="Monday"/>
    <s v="Evening"/>
    <s v="3-6 months"/>
    <n v="76"/>
    <x v="153"/>
    <n v="0.11"/>
    <n v="0.82"/>
    <n v="4.51"/>
    <n v="0"/>
    <n v="23.88"/>
    <s v="Low"/>
  </r>
  <r>
    <s v="Team B"/>
    <s v="Agent_3"/>
    <s v="Tuesday"/>
    <s v="Morning"/>
    <s v="3-6 months"/>
    <n v="53"/>
    <x v="154"/>
    <n v="0.04"/>
    <n v="0.77"/>
    <n v="4.24"/>
    <n v="0"/>
    <n v="27.39"/>
    <s v="Low"/>
  </r>
  <r>
    <s v="Team B"/>
    <s v="Agent_3"/>
    <s v="Tuesday"/>
    <s v="Afternoon"/>
    <s v="3-6 months"/>
    <n v="57"/>
    <x v="155"/>
    <n v="0.02"/>
    <n v="0.8"/>
    <n v="4.17"/>
    <n v="0"/>
    <n v="27.03"/>
    <s v="Low"/>
  </r>
  <r>
    <s v="Team B"/>
    <s v="Agent_3"/>
    <s v="Tuesday"/>
    <s v="Evening"/>
    <s v="3-6 months"/>
    <n v="62"/>
    <x v="156"/>
    <n v="0.13"/>
    <n v="0.69"/>
    <n v="3.92"/>
    <n v="3"/>
    <n v="34.92"/>
    <s v="High"/>
  </r>
  <r>
    <s v="Team B"/>
    <s v="Agent_3"/>
    <s v="Wednesday"/>
    <s v="Morning"/>
    <s v="0-3 months"/>
    <n v="79"/>
    <x v="157"/>
    <n v="0.08"/>
    <n v="0.88"/>
    <n v="4.2699999999999996"/>
    <n v="1"/>
    <n v="28.78"/>
    <s v="High"/>
  </r>
  <r>
    <s v="Team B"/>
    <s v="Agent_3"/>
    <s v="Wednesday"/>
    <s v="Afternoon"/>
    <s v="3-6 months"/>
    <n v="70"/>
    <x v="158"/>
    <n v="0.11"/>
    <n v="0.88"/>
    <n v="4.43"/>
    <n v="2"/>
    <n v="30.44"/>
    <s v="High"/>
  </r>
  <r>
    <s v="Team B"/>
    <s v="Agent_3"/>
    <s v="Wednesday"/>
    <s v="Evening"/>
    <s v="3-6 months"/>
    <n v="36"/>
    <x v="159"/>
    <n v="0.1"/>
    <n v="0.8"/>
    <n v="4.13"/>
    <n v="0"/>
    <n v="27.22"/>
    <s v="Low"/>
  </r>
  <r>
    <s v="Team B"/>
    <s v="Agent_3"/>
    <s v="Thursday"/>
    <s v="Morning"/>
    <s v="0-3 months"/>
    <n v="43"/>
    <x v="160"/>
    <n v="7.0000000000000007E-2"/>
    <n v="0.76"/>
    <n v="3.82"/>
    <n v="0"/>
    <n v="29.22"/>
    <s v="High"/>
  </r>
  <r>
    <s v="Team B"/>
    <s v="Agent_3"/>
    <s v="Thursday"/>
    <s v="Afternoon"/>
    <s v="6+ months"/>
    <n v="48"/>
    <x v="155"/>
    <n v="0.11"/>
    <n v="0.82"/>
    <n v="4.22"/>
    <n v="1"/>
    <n v="29.03"/>
    <s v="High"/>
  </r>
  <r>
    <s v="Team B"/>
    <s v="Agent_3"/>
    <s v="Thursday"/>
    <s v="Evening"/>
    <s v="0-3 months"/>
    <n v="61"/>
    <x v="161"/>
    <n v="0.19"/>
    <n v="0.72"/>
    <n v="3.61"/>
    <n v="0"/>
    <n v="25.4"/>
    <s v="Low"/>
  </r>
  <r>
    <s v="Team B"/>
    <s v="Agent_3"/>
    <s v="Friday"/>
    <s v="Morning"/>
    <s v="0-3 months"/>
    <n v="44"/>
    <x v="69"/>
    <n v="0.27"/>
    <n v="0.86"/>
    <n v="4.47"/>
    <n v="0"/>
    <n v="25.86"/>
    <s v="Low"/>
  </r>
  <r>
    <s v="Team B"/>
    <s v="Agent_3"/>
    <s v="Friday"/>
    <s v="Afternoon"/>
    <s v="3-6 months"/>
    <n v="73"/>
    <x v="162"/>
    <n v="0.12"/>
    <n v="0.83"/>
    <n v="4.21"/>
    <n v="0"/>
    <n v="23.74"/>
    <s v="Low"/>
  </r>
  <r>
    <s v="Team B"/>
    <s v="Agent_3"/>
    <s v="Friday"/>
    <s v="Evening"/>
    <s v="3-6 months"/>
    <n v="63"/>
    <x v="163"/>
    <n v="0.14000000000000001"/>
    <n v="0.71"/>
    <n v="3.86"/>
    <n v="0"/>
    <n v="27.87"/>
    <s v="High"/>
  </r>
  <r>
    <s v="Team B"/>
    <s v="Agent_4"/>
    <s v="Monday"/>
    <s v="Morning"/>
    <s v="6+ months"/>
    <n v="41"/>
    <x v="2"/>
    <n v="7.0000000000000007E-2"/>
    <n v="0.82"/>
    <n v="4.59"/>
    <n v="0"/>
    <n v="26.19"/>
    <s v="Low"/>
  </r>
  <r>
    <s v="Team B"/>
    <s v="Agent_4"/>
    <s v="Monday"/>
    <s v="Afternoon"/>
    <s v="6+ months"/>
    <n v="65"/>
    <x v="141"/>
    <n v="0.08"/>
    <n v="0.79"/>
    <n v="4.63"/>
    <n v="0"/>
    <n v="26.73"/>
    <s v="Low"/>
  </r>
  <r>
    <s v="Team B"/>
    <s v="Agent_4"/>
    <s v="Monday"/>
    <s v="Evening"/>
    <s v="3-6 months"/>
    <n v="54"/>
    <x v="121"/>
    <n v="0.11"/>
    <n v="0.62"/>
    <n v="4.3499999999999996"/>
    <n v="0"/>
    <n v="25.82"/>
    <s v="Low"/>
  </r>
  <r>
    <s v="Team B"/>
    <s v="Agent_4"/>
    <s v="Tuesday"/>
    <s v="Morning"/>
    <s v="3-6 months"/>
    <n v="64"/>
    <x v="164"/>
    <n v="0.12"/>
    <n v="0.77"/>
    <n v="4.76"/>
    <n v="0"/>
    <n v="24.32"/>
    <s v="Low"/>
  </r>
  <r>
    <s v="Team B"/>
    <s v="Agent_4"/>
    <s v="Tuesday"/>
    <s v="Afternoon"/>
    <s v="0-3 months"/>
    <n v="32"/>
    <x v="165"/>
    <n v="0.16"/>
    <n v="0.8"/>
    <n v="4.08"/>
    <n v="1"/>
    <n v="29.99"/>
    <s v="High"/>
  </r>
  <r>
    <s v="Team B"/>
    <s v="Agent_4"/>
    <s v="Tuesday"/>
    <s v="Evening"/>
    <s v="0-3 months"/>
    <n v="34"/>
    <x v="159"/>
    <n v="0.23"/>
    <n v="0.64"/>
    <n v="3.72"/>
    <n v="0"/>
    <n v="27.22"/>
    <s v="Low"/>
  </r>
  <r>
    <s v="Team B"/>
    <s v="Agent_4"/>
    <s v="Wednesday"/>
    <s v="Morning"/>
    <s v="6+ months"/>
    <n v="66"/>
    <x v="166"/>
    <n v="0.09"/>
    <n v="0.87"/>
    <n v="4.42"/>
    <n v="0"/>
    <n v="24.16"/>
    <s v="Low"/>
  </r>
  <r>
    <s v="Team B"/>
    <s v="Agent_4"/>
    <s v="Wednesday"/>
    <s v="Afternoon"/>
    <s v="6+ months"/>
    <n v="35"/>
    <x v="69"/>
    <n v="0.06"/>
    <n v="0.76"/>
    <n v="4.1900000000000004"/>
    <n v="2"/>
    <n v="29.86"/>
    <s v="High"/>
  </r>
  <r>
    <s v="Team B"/>
    <s v="Agent_4"/>
    <s v="Wednesday"/>
    <s v="Evening"/>
    <s v="0-3 months"/>
    <n v="64"/>
    <x v="167"/>
    <n v="0.16"/>
    <n v="0.83"/>
    <n v="3.91"/>
    <n v="0"/>
    <n v="25.95"/>
    <s v="Low"/>
  </r>
  <r>
    <s v="Team B"/>
    <s v="Agent_4"/>
    <s v="Thursday"/>
    <s v="Morning"/>
    <s v="0-3 months"/>
    <n v="71"/>
    <x v="112"/>
    <n v="0.22"/>
    <n v="0.75"/>
    <n v="3.92"/>
    <n v="3"/>
    <n v="31.53"/>
    <s v="High"/>
  </r>
  <r>
    <s v="Team B"/>
    <s v="Agent_4"/>
    <s v="Thursday"/>
    <s v="Afternoon"/>
    <s v="3-6 months"/>
    <n v="76"/>
    <x v="168"/>
    <n v="0.09"/>
    <n v="0.8"/>
    <n v="4.1900000000000004"/>
    <n v="0"/>
    <n v="22.56"/>
    <s v="Low"/>
  </r>
  <r>
    <s v="Team B"/>
    <s v="Agent_4"/>
    <s v="Thursday"/>
    <s v="Evening"/>
    <s v="0-3 months"/>
    <n v="45"/>
    <x v="169"/>
    <n v="0.09"/>
    <n v="0.65"/>
    <n v="4.45"/>
    <n v="0"/>
    <n v="26.34"/>
    <s v="Low"/>
  </r>
  <r>
    <s v="Team B"/>
    <s v="Agent_4"/>
    <s v="Friday"/>
    <s v="Morning"/>
    <s v="0-3 months"/>
    <n v="76"/>
    <x v="92"/>
    <n v="0.09"/>
    <n v="0.85"/>
    <n v="4.59"/>
    <n v="2"/>
    <n v="30.43"/>
    <s v="High"/>
  </r>
  <r>
    <s v="Team B"/>
    <s v="Agent_4"/>
    <s v="Friday"/>
    <s v="Afternoon"/>
    <s v="3-6 months"/>
    <n v="79"/>
    <x v="170"/>
    <n v="0.13"/>
    <n v="0.87"/>
    <n v="3.65"/>
    <n v="1"/>
    <n v="29.26"/>
    <s v="High"/>
  </r>
  <r>
    <s v="Team B"/>
    <s v="Agent_4"/>
    <s v="Friday"/>
    <s v="Evening"/>
    <s v="6+ months"/>
    <n v="30"/>
    <x v="171"/>
    <n v="0.05"/>
    <n v="0.76"/>
    <n v="4.01"/>
    <n v="1"/>
    <n v="27.47"/>
    <s v="Low"/>
  </r>
  <r>
    <s v="Team B"/>
    <s v="Agent_5"/>
    <s v="Monday"/>
    <s v="Morning"/>
    <s v="0-3 months"/>
    <n v="57"/>
    <x v="102"/>
    <n v="0.13"/>
    <n v="0.88"/>
    <n v="4.79"/>
    <n v="1"/>
    <n v="28.76"/>
    <s v="High"/>
  </r>
  <r>
    <s v="Team B"/>
    <s v="Agent_5"/>
    <s v="Monday"/>
    <s v="Afternoon"/>
    <s v="0-3 months"/>
    <n v="60"/>
    <x v="172"/>
    <n v="0.23"/>
    <n v="0.88"/>
    <n v="4.03"/>
    <n v="0"/>
    <n v="24.58"/>
    <s v="Low"/>
  </r>
  <r>
    <s v="Team B"/>
    <s v="Agent_5"/>
    <s v="Monday"/>
    <s v="Evening"/>
    <s v="3-6 months"/>
    <n v="35"/>
    <x v="173"/>
    <n v="7.0000000000000007E-2"/>
    <n v="0.67"/>
    <n v="4.34"/>
    <n v="0"/>
    <n v="27.44"/>
    <s v="Low"/>
  </r>
  <r>
    <s v="Team B"/>
    <s v="Agent_5"/>
    <s v="Tuesday"/>
    <s v="Morning"/>
    <s v="3-6 months"/>
    <n v="36"/>
    <x v="174"/>
    <n v="0.09"/>
    <n v="0.81"/>
    <n v="4.21"/>
    <n v="0"/>
    <n v="25.66"/>
    <s v="Low"/>
  </r>
  <r>
    <s v="Team B"/>
    <s v="Agent_5"/>
    <s v="Tuesday"/>
    <s v="Afternoon"/>
    <s v="3-6 months"/>
    <n v="64"/>
    <x v="175"/>
    <n v="0.1"/>
    <n v="0.82"/>
    <n v="3.99"/>
    <n v="2"/>
    <n v="32.71"/>
    <s v="High"/>
  </r>
  <r>
    <s v="Team B"/>
    <s v="Agent_5"/>
    <s v="Tuesday"/>
    <s v="Evening"/>
    <s v="3-6 months"/>
    <n v="35"/>
    <x v="176"/>
    <n v="0.14000000000000001"/>
    <n v="0.8"/>
    <n v="3.64"/>
    <n v="0"/>
    <n v="27.76"/>
    <s v="High"/>
  </r>
  <r>
    <s v="Team B"/>
    <s v="Agent_5"/>
    <s v="Wednesday"/>
    <s v="Morning"/>
    <s v="3-6 months"/>
    <n v="44"/>
    <x v="177"/>
    <n v="0.12"/>
    <n v="0.87"/>
    <n v="4.43"/>
    <n v="3"/>
    <n v="35.75"/>
    <s v="High"/>
  </r>
  <r>
    <s v="Team B"/>
    <s v="Agent_5"/>
    <s v="Wednesday"/>
    <s v="Afternoon"/>
    <s v="0-3 months"/>
    <n v="52"/>
    <x v="178"/>
    <n v="0.16"/>
    <n v="0.88"/>
    <n v="3.59"/>
    <n v="3"/>
    <n v="33.340000000000003"/>
    <s v="High"/>
  </r>
  <r>
    <s v="Team B"/>
    <s v="Agent_5"/>
    <s v="Wednesday"/>
    <s v="Evening"/>
    <s v="3-6 months"/>
    <n v="44"/>
    <x v="179"/>
    <n v="0.05"/>
    <n v="0.64"/>
    <n v="4.3"/>
    <n v="0"/>
    <n v="26.1"/>
    <s v="Low"/>
  </r>
  <r>
    <s v="Team B"/>
    <s v="Agent_5"/>
    <s v="Thursday"/>
    <s v="Morning"/>
    <s v="3-6 months"/>
    <n v="58"/>
    <x v="180"/>
    <n v="0.12"/>
    <n v="0.83"/>
    <n v="3.9"/>
    <n v="1"/>
    <n v="26.14"/>
    <s v="Low"/>
  </r>
  <r>
    <s v="Team B"/>
    <s v="Agent_5"/>
    <s v="Thursday"/>
    <s v="Afternoon"/>
    <s v="6+ months"/>
    <n v="78"/>
    <x v="114"/>
    <n v="0.13"/>
    <n v="0.87"/>
    <n v="3.74"/>
    <n v="0"/>
    <n v="24.66"/>
    <s v="Low"/>
  </r>
  <r>
    <s v="Team B"/>
    <s v="Agent_5"/>
    <s v="Thursday"/>
    <s v="Evening"/>
    <s v="6+ months"/>
    <n v="71"/>
    <x v="169"/>
    <n v="0.14000000000000001"/>
    <n v="0.71"/>
    <n v="3.61"/>
    <n v="2"/>
    <n v="30.34"/>
    <s v="High"/>
  </r>
  <r>
    <s v="Team B"/>
    <s v="Agent_5"/>
    <s v="Friday"/>
    <s v="Morning"/>
    <s v="3-6 months"/>
    <n v="74"/>
    <x v="181"/>
    <n v="0.1"/>
    <n v="0.87"/>
    <n v="4.6500000000000004"/>
    <n v="0"/>
    <n v="26.96"/>
    <s v="Low"/>
  </r>
  <r>
    <s v="Team B"/>
    <s v="Agent_5"/>
    <s v="Friday"/>
    <s v="Afternoon"/>
    <s v="0-3 months"/>
    <n v="39"/>
    <x v="182"/>
    <n v="0.09"/>
    <n v="0.8"/>
    <n v="4.68"/>
    <n v="1"/>
    <n v="28.46"/>
    <s v="High"/>
  </r>
  <r>
    <s v="Team B"/>
    <s v="Agent_5"/>
    <s v="Friday"/>
    <s v="Evening"/>
    <s v="3-6 months"/>
    <n v="56"/>
    <x v="183"/>
    <n v="0.13"/>
    <n v="0.71"/>
    <n v="4.37"/>
    <n v="0"/>
    <n v="25.17"/>
    <s v="Low"/>
  </r>
  <r>
    <s v="Team B"/>
    <s v="Agent_6"/>
    <s v="Monday"/>
    <s v="Morning"/>
    <s v="3-6 months"/>
    <n v="62"/>
    <x v="94"/>
    <n v="0.08"/>
    <n v="0.77"/>
    <n v="3.81"/>
    <n v="2"/>
    <n v="31.58"/>
    <s v="High"/>
  </r>
  <r>
    <s v="Team B"/>
    <s v="Agent_6"/>
    <s v="Monday"/>
    <s v="Afternoon"/>
    <s v="3-6 months"/>
    <n v="50"/>
    <x v="31"/>
    <n v="0.09"/>
    <n v="0.78"/>
    <n v="4.01"/>
    <n v="0"/>
    <n v="28.08"/>
    <s v="High"/>
  </r>
  <r>
    <s v="Team B"/>
    <s v="Agent_6"/>
    <s v="Monday"/>
    <s v="Evening"/>
    <s v="3-6 months"/>
    <n v="31"/>
    <x v="184"/>
    <n v="0.06"/>
    <n v="0.75"/>
    <n v="4.38"/>
    <n v="0"/>
    <n v="28.68"/>
    <s v="High"/>
  </r>
  <r>
    <s v="Team B"/>
    <s v="Agent_6"/>
    <s v="Tuesday"/>
    <s v="Morning"/>
    <s v="3-6 months"/>
    <n v="70"/>
    <x v="185"/>
    <n v="0.06"/>
    <n v="0.76"/>
    <n v="3.61"/>
    <n v="2"/>
    <n v="31.1"/>
    <s v="High"/>
  </r>
  <r>
    <s v="Team B"/>
    <s v="Agent_6"/>
    <s v="Tuesday"/>
    <s v="Afternoon"/>
    <s v="0-3 months"/>
    <n v="37"/>
    <x v="186"/>
    <n v="0.14000000000000001"/>
    <n v="0.8"/>
    <n v="4.3"/>
    <n v="0"/>
    <n v="28.7"/>
    <s v="High"/>
  </r>
  <r>
    <s v="Team B"/>
    <s v="Agent_6"/>
    <s v="Tuesday"/>
    <s v="Evening"/>
    <s v="6+ months"/>
    <n v="34"/>
    <x v="187"/>
    <n v="0.06"/>
    <n v="0.75"/>
    <n v="4.38"/>
    <n v="0"/>
    <n v="26.55"/>
    <s v="Low"/>
  </r>
  <r>
    <s v="Team B"/>
    <s v="Agent_6"/>
    <s v="Wednesday"/>
    <s v="Morning"/>
    <s v="3-6 months"/>
    <n v="51"/>
    <x v="138"/>
    <n v="0.11"/>
    <n v="0.9"/>
    <n v="4.3600000000000003"/>
    <n v="0"/>
    <n v="25.35"/>
    <s v="Low"/>
  </r>
  <r>
    <s v="Team B"/>
    <s v="Agent_6"/>
    <s v="Wednesday"/>
    <s v="Afternoon"/>
    <s v="6+ months"/>
    <n v="59"/>
    <x v="188"/>
    <n v="0.03"/>
    <n v="0.89"/>
    <n v="4.33"/>
    <n v="1"/>
    <n v="29.56"/>
    <s v="High"/>
  </r>
  <r>
    <s v="Team B"/>
    <s v="Agent_6"/>
    <s v="Wednesday"/>
    <s v="Evening"/>
    <s v="0-3 months"/>
    <n v="71"/>
    <x v="189"/>
    <n v="7.0000000000000007E-2"/>
    <n v="0.71"/>
    <n v="4.4800000000000004"/>
    <n v="0"/>
    <n v="23.55"/>
    <s v="Low"/>
  </r>
  <r>
    <s v="Team B"/>
    <s v="Agent_6"/>
    <s v="Thursday"/>
    <s v="Morning"/>
    <s v="3-6 months"/>
    <n v="49"/>
    <x v="190"/>
    <n v="0.04"/>
    <n v="0.9"/>
    <n v="3.53"/>
    <n v="1"/>
    <n v="24.74"/>
    <s v="Low"/>
  </r>
  <r>
    <s v="Team B"/>
    <s v="Agent_6"/>
    <s v="Thursday"/>
    <s v="Afternoon"/>
    <s v="6+ months"/>
    <n v="30"/>
    <x v="191"/>
    <n v="0.13"/>
    <n v="0.83"/>
    <n v="4.3099999999999996"/>
    <n v="0"/>
    <n v="25.5"/>
    <s v="Low"/>
  </r>
  <r>
    <s v="Team B"/>
    <s v="Agent_6"/>
    <s v="Thursday"/>
    <s v="Evening"/>
    <s v="6+ months"/>
    <n v="62"/>
    <x v="192"/>
    <n v="0.04"/>
    <n v="0.62"/>
    <n v="3.65"/>
    <n v="0"/>
    <n v="26.49"/>
    <s v="Low"/>
  </r>
  <r>
    <s v="Team B"/>
    <s v="Agent_6"/>
    <s v="Friday"/>
    <s v="Morning"/>
    <s v="3-6 months"/>
    <n v="70"/>
    <x v="193"/>
    <n v="0.03"/>
    <n v="0.89"/>
    <n v="4.22"/>
    <n v="0"/>
    <n v="29.96"/>
    <s v="High"/>
  </r>
  <r>
    <s v="Team B"/>
    <s v="Agent_6"/>
    <s v="Friday"/>
    <s v="Afternoon"/>
    <s v="3-6 months"/>
    <n v="52"/>
    <x v="194"/>
    <n v="0.09"/>
    <n v="0.83"/>
    <n v="4.01"/>
    <n v="0"/>
    <n v="26.92"/>
    <s v="Low"/>
  </r>
  <r>
    <s v="Team B"/>
    <s v="Agent_6"/>
    <s v="Friday"/>
    <s v="Evening"/>
    <s v="3-6 months"/>
    <n v="67"/>
    <x v="48"/>
    <n v="0.13"/>
    <n v="0.7"/>
    <n v="4.6399999999999997"/>
    <n v="2"/>
    <n v="29.46"/>
    <s v="High"/>
  </r>
  <r>
    <s v="Team B"/>
    <s v="Agent_7"/>
    <s v="Monday"/>
    <s v="Morning"/>
    <s v="6+ months"/>
    <n v="45"/>
    <x v="195"/>
    <n v="0.06"/>
    <n v="0.75"/>
    <n v="3.7"/>
    <n v="0"/>
    <n v="27.12"/>
    <s v="Low"/>
  </r>
  <r>
    <s v="Team B"/>
    <s v="Agent_7"/>
    <s v="Monday"/>
    <s v="Afternoon"/>
    <s v="6+ months"/>
    <n v="47"/>
    <x v="171"/>
    <n v="0.1"/>
    <n v="0.87"/>
    <n v="3.67"/>
    <n v="2"/>
    <n v="29.47"/>
    <s v="High"/>
  </r>
  <r>
    <s v="Team B"/>
    <s v="Agent_7"/>
    <s v="Monday"/>
    <s v="Evening"/>
    <s v="6+ months"/>
    <n v="43"/>
    <x v="171"/>
    <n v="0.14000000000000001"/>
    <n v="0.81"/>
    <n v="4.37"/>
    <n v="0"/>
    <n v="25.47"/>
    <s v="Low"/>
  </r>
  <r>
    <s v="Team B"/>
    <s v="Agent_7"/>
    <s v="Tuesday"/>
    <s v="Morning"/>
    <s v="3-6 months"/>
    <n v="33"/>
    <x v="196"/>
    <n v="0.04"/>
    <n v="0.89"/>
    <n v="4.21"/>
    <n v="3"/>
    <n v="33.64"/>
    <s v="High"/>
  </r>
  <r>
    <s v="Team B"/>
    <s v="Agent_7"/>
    <s v="Tuesday"/>
    <s v="Afternoon"/>
    <s v="3-6 months"/>
    <n v="42"/>
    <x v="178"/>
    <n v="0.02"/>
    <n v="0.75"/>
    <n v="4.28"/>
    <n v="0"/>
    <n v="27.34"/>
    <s v="Low"/>
  </r>
  <r>
    <s v="Team B"/>
    <s v="Agent_7"/>
    <s v="Tuesday"/>
    <s v="Evening"/>
    <s v="3-6 months"/>
    <n v="34"/>
    <x v="197"/>
    <n v="0.12"/>
    <n v="0.71"/>
    <n v="3.58"/>
    <n v="3"/>
    <n v="31.56"/>
    <s v="High"/>
  </r>
  <r>
    <s v="Team B"/>
    <s v="Agent_7"/>
    <s v="Wednesday"/>
    <s v="Morning"/>
    <s v="0-3 months"/>
    <n v="44"/>
    <x v="198"/>
    <n v="0.22"/>
    <n v="0.76"/>
    <n v="4.16"/>
    <n v="3"/>
    <n v="31.34"/>
    <s v="High"/>
  </r>
  <r>
    <s v="Team B"/>
    <s v="Agent_7"/>
    <s v="Wednesday"/>
    <s v="Afternoon"/>
    <s v="6+ months"/>
    <n v="68"/>
    <x v="39"/>
    <n v="0.05"/>
    <n v="0.78"/>
    <n v="4.3499999999999996"/>
    <n v="2"/>
    <n v="29.8"/>
    <s v="High"/>
  </r>
  <r>
    <s v="Team B"/>
    <s v="Agent_7"/>
    <s v="Wednesday"/>
    <s v="Evening"/>
    <s v="6+ months"/>
    <n v="66"/>
    <x v="199"/>
    <n v="0.05"/>
    <n v="0.69"/>
    <n v="4.04"/>
    <n v="2"/>
    <n v="30.06"/>
    <s v="High"/>
  </r>
  <r>
    <s v="Team B"/>
    <s v="Agent_7"/>
    <s v="Thursday"/>
    <s v="Morning"/>
    <s v="6+ months"/>
    <n v="51"/>
    <x v="200"/>
    <n v="0.15"/>
    <n v="0.79"/>
    <n v="3.67"/>
    <n v="0"/>
    <n v="27.74"/>
    <s v="High"/>
  </r>
  <r>
    <s v="Team B"/>
    <s v="Agent_7"/>
    <s v="Thursday"/>
    <s v="Afternoon"/>
    <s v="6+ months"/>
    <n v="50"/>
    <x v="201"/>
    <n v="0.09"/>
    <n v="0.78"/>
    <n v="3.52"/>
    <n v="0"/>
    <n v="25.42"/>
    <s v="Low"/>
  </r>
  <r>
    <s v="Team B"/>
    <s v="Agent_7"/>
    <s v="Thursday"/>
    <s v="Evening"/>
    <s v="6+ months"/>
    <n v="47"/>
    <x v="20"/>
    <n v="0.03"/>
    <n v="0.61"/>
    <n v="3.98"/>
    <n v="0"/>
    <n v="26.84"/>
    <s v="Low"/>
  </r>
  <r>
    <s v="Team B"/>
    <s v="Agent_7"/>
    <s v="Friday"/>
    <s v="Morning"/>
    <s v="3-6 months"/>
    <n v="50"/>
    <x v="151"/>
    <n v="0.06"/>
    <n v="0.86"/>
    <n v="4.12"/>
    <n v="0"/>
    <n v="24.46"/>
    <s v="Low"/>
  </r>
  <r>
    <s v="Team B"/>
    <s v="Agent_7"/>
    <s v="Friday"/>
    <s v="Afternoon"/>
    <s v="3-6 months"/>
    <n v="67"/>
    <x v="2"/>
    <n v="7.0000000000000007E-2"/>
    <n v="0.89"/>
    <n v="3.67"/>
    <n v="0"/>
    <n v="26.19"/>
    <s v="Low"/>
  </r>
  <r>
    <s v="Team B"/>
    <s v="Agent_7"/>
    <s v="Friday"/>
    <s v="Evening"/>
    <s v="3-6 months"/>
    <n v="70"/>
    <x v="198"/>
    <n v="0.05"/>
    <n v="0.81"/>
    <n v="3.55"/>
    <n v="2"/>
    <n v="29.34"/>
    <s v="High"/>
  </r>
  <r>
    <s v="Team B"/>
    <s v="Agent_8"/>
    <s v="Monday"/>
    <s v="Morning"/>
    <s v="3-6 months"/>
    <n v="40"/>
    <x v="202"/>
    <n v="0.08"/>
    <n v="0.81"/>
    <n v="4.09"/>
    <n v="0"/>
    <n v="29"/>
    <s v="High"/>
  </r>
  <r>
    <s v="Team B"/>
    <s v="Agent_8"/>
    <s v="Monday"/>
    <s v="Afternoon"/>
    <s v="6+ months"/>
    <n v="52"/>
    <x v="151"/>
    <n v="0.12"/>
    <n v="0.83"/>
    <n v="4.38"/>
    <n v="0"/>
    <n v="24.46"/>
    <s v="Low"/>
  </r>
  <r>
    <s v="Team B"/>
    <s v="Agent_8"/>
    <s v="Monday"/>
    <s v="Evening"/>
    <s v="0-3 months"/>
    <n v="72"/>
    <x v="169"/>
    <n v="0.21"/>
    <n v="0.8"/>
    <n v="3.64"/>
    <n v="0"/>
    <n v="26.34"/>
    <s v="Low"/>
  </r>
  <r>
    <s v="Team B"/>
    <s v="Agent_8"/>
    <s v="Tuesday"/>
    <s v="Morning"/>
    <s v="3-6 months"/>
    <n v="69"/>
    <x v="35"/>
    <n v="7.0000000000000007E-2"/>
    <n v="0.87"/>
    <n v="4.3600000000000003"/>
    <n v="0"/>
    <n v="24.22"/>
    <s v="Low"/>
  </r>
  <r>
    <s v="Team B"/>
    <s v="Agent_8"/>
    <s v="Tuesday"/>
    <s v="Afternoon"/>
    <s v="0-3 months"/>
    <n v="34"/>
    <x v="203"/>
    <n v="0.19"/>
    <n v="0.87"/>
    <n v="3.59"/>
    <n v="0"/>
    <n v="24.8"/>
    <s v="Low"/>
  </r>
  <r>
    <s v="Team B"/>
    <s v="Agent_8"/>
    <s v="Tuesday"/>
    <s v="Evening"/>
    <s v="0-3 months"/>
    <n v="77"/>
    <x v="204"/>
    <n v="0.15"/>
    <n v="0.65"/>
    <n v="3.66"/>
    <n v="1"/>
    <n v="29.16"/>
    <s v="High"/>
  </r>
  <r>
    <s v="Team B"/>
    <s v="Agent_8"/>
    <s v="Wednesday"/>
    <s v="Morning"/>
    <s v="6+ months"/>
    <n v="70"/>
    <x v="205"/>
    <n v="0.14000000000000001"/>
    <n v="0.82"/>
    <n v="4.66"/>
    <n v="0"/>
    <n v="28.22"/>
    <s v="High"/>
  </r>
  <r>
    <s v="Team B"/>
    <s v="Agent_8"/>
    <s v="Wednesday"/>
    <s v="Afternoon"/>
    <s v="0-3 months"/>
    <n v="56"/>
    <x v="169"/>
    <n v="0.2"/>
    <n v="0.86"/>
    <n v="4.5599999999999996"/>
    <n v="1"/>
    <n v="28.34"/>
    <s v="High"/>
  </r>
  <r>
    <s v="Team B"/>
    <s v="Agent_8"/>
    <s v="Wednesday"/>
    <s v="Evening"/>
    <s v="0-3 months"/>
    <n v="44"/>
    <x v="206"/>
    <n v="0.08"/>
    <n v="0.75"/>
    <n v="3.62"/>
    <n v="0"/>
    <n v="26.66"/>
    <s v="Low"/>
  </r>
  <r>
    <s v="Team B"/>
    <s v="Agent_8"/>
    <s v="Thursday"/>
    <s v="Morning"/>
    <s v="3-6 months"/>
    <n v="54"/>
    <x v="207"/>
    <n v="0.14000000000000001"/>
    <n v="0.85"/>
    <n v="4.1399999999999997"/>
    <n v="0"/>
    <n v="25.48"/>
    <s v="Low"/>
  </r>
  <r>
    <s v="Team B"/>
    <s v="Agent_8"/>
    <s v="Thursday"/>
    <s v="Afternoon"/>
    <s v="6+ months"/>
    <n v="61"/>
    <x v="33"/>
    <n v="0.06"/>
    <n v="0.88"/>
    <n v="3.84"/>
    <n v="0"/>
    <n v="25.11"/>
    <s v="Low"/>
  </r>
  <r>
    <s v="Team B"/>
    <s v="Agent_8"/>
    <s v="Thursday"/>
    <s v="Evening"/>
    <s v="3-6 months"/>
    <n v="50"/>
    <x v="164"/>
    <n v="0.03"/>
    <n v="0.68"/>
    <n v="4.4800000000000004"/>
    <n v="0"/>
    <n v="24.32"/>
    <s v="Low"/>
  </r>
  <r>
    <s v="Team B"/>
    <s v="Agent_8"/>
    <s v="Friday"/>
    <s v="Morning"/>
    <s v="3-6 months"/>
    <n v="42"/>
    <x v="208"/>
    <n v="0.04"/>
    <n v="0.77"/>
    <n v="4.4400000000000004"/>
    <n v="2"/>
    <n v="30.6"/>
    <s v="High"/>
  </r>
  <r>
    <s v="Team B"/>
    <s v="Agent_8"/>
    <s v="Friday"/>
    <s v="Afternoon"/>
    <s v="0-3 months"/>
    <n v="52"/>
    <x v="135"/>
    <n v="0.19"/>
    <n v="0.84"/>
    <n v="4.16"/>
    <n v="0"/>
    <n v="26.98"/>
    <s v="Low"/>
  </r>
  <r>
    <s v="Team B"/>
    <s v="Agent_8"/>
    <s v="Friday"/>
    <s v="Evening"/>
    <s v="3-6 months"/>
    <n v="58"/>
    <x v="209"/>
    <n v="0.03"/>
    <n v="0.74"/>
    <n v="4.6399999999999997"/>
    <n v="0"/>
    <n v="27.33"/>
    <s v="Low"/>
  </r>
  <r>
    <s v="Team B"/>
    <s v="Agent_9"/>
    <s v="Monday"/>
    <s v="Morning"/>
    <s v="0-3 months"/>
    <n v="45"/>
    <x v="210"/>
    <n v="0.27"/>
    <n v="0.79"/>
    <n v="3.75"/>
    <n v="2"/>
    <n v="31.15"/>
    <s v="High"/>
  </r>
  <r>
    <s v="Team B"/>
    <s v="Agent_9"/>
    <s v="Monday"/>
    <s v="Afternoon"/>
    <s v="3-6 months"/>
    <n v="54"/>
    <x v="211"/>
    <n v="0.09"/>
    <n v="0.86"/>
    <n v="4.3"/>
    <n v="0"/>
    <n v="27.4"/>
    <s v="Low"/>
  </r>
  <r>
    <s v="Team B"/>
    <s v="Agent_9"/>
    <s v="Monday"/>
    <s v="Evening"/>
    <s v="3-6 months"/>
    <n v="42"/>
    <x v="175"/>
    <n v="0.13"/>
    <n v="0.81"/>
    <n v="4.58"/>
    <n v="0"/>
    <n v="28.71"/>
    <s v="High"/>
  </r>
  <r>
    <s v="Team B"/>
    <s v="Agent_9"/>
    <s v="Tuesday"/>
    <s v="Morning"/>
    <s v="6+ months"/>
    <n v="49"/>
    <x v="212"/>
    <n v="0.06"/>
    <n v="0.77"/>
    <n v="3.9"/>
    <n v="2"/>
    <n v="34.200000000000003"/>
    <s v="High"/>
  </r>
  <r>
    <s v="Team B"/>
    <s v="Agent_9"/>
    <s v="Tuesday"/>
    <s v="Afternoon"/>
    <s v="6+ months"/>
    <n v="33"/>
    <x v="213"/>
    <n v="0.12"/>
    <n v="0.78"/>
    <n v="3.68"/>
    <n v="1"/>
    <n v="30.59"/>
    <s v="High"/>
  </r>
  <r>
    <s v="Team B"/>
    <s v="Agent_9"/>
    <s v="Tuesday"/>
    <s v="Evening"/>
    <s v="0-3 months"/>
    <n v="68"/>
    <x v="214"/>
    <n v="0.05"/>
    <n v="0.75"/>
    <n v="3.96"/>
    <n v="1"/>
    <n v="26.38"/>
    <s v="Low"/>
  </r>
  <r>
    <s v="Team B"/>
    <s v="Agent_9"/>
    <s v="Wednesday"/>
    <s v="Morning"/>
    <s v="0-3 months"/>
    <n v="36"/>
    <x v="215"/>
    <n v="7.0000000000000007E-2"/>
    <n v="0.84"/>
    <n v="4.2300000000000004"/>
    <n v="0"/>
    <n v="29.56"/>
    <s v="High"/>
  </r>
  <r>
    <s v="Team B"/>
    <s v="Agent_9"/>
    <s v="Wednesday"/>
    <s v="Afternoon"/>
    <s v="3-6 months"/>
    <n v="63"/>
    <x v="39"/>
    <n v="0.1"/>
    <n v="0.84"/>
    <n v="3.53"/>
    <n v="0"/>
    <n v="25.8"/>
    <s v="Low"/>
  </r>
  <r>
    <s v="Team B"/>
    <s v="Agent_9"/>
    <s v="Wednesday"/>
    <s v="Evening"/>
    <s v="3-6 months"/>
    <n v="48"/>
    <x v="103"/>
    <n v="0.12"/>
    <n v="0.78"/>
    <n v="4.53"/>
    <n v="0"/>
    <n v="26"/>
    <s v="Low"/>
  </r>
  <r>
    <s v="Team B"/>
    <s v="Agent_9"/>
    <s v="Thursday"/>
    <s v="Morning"/>
    <s v="3-6 months"/>
    <n v="65"/>
    <x v="128"/>
    <n v="0.04"/>
    <n v="0.86"/>
    <n v="3.81"/>
    <n v="0"/>
    <n v="25.58"/>
    <s v="Low"/>
  </r>
  <r>
    <s v="Team B"/>
    <s v="Agent_9"/>
    <s v="Thursday"/>
    <s v="Afternoon"/>
    <s v="0-3 months"/>
    <n v="57"/>
    <x v="216"/>
    <n v="0.16"/>
    <n v="0.85"/>
    <n v="4.5199999999999996"/>
    <n v="0"/>
    <n v="26.54"/>
    <s v="Low"/>
  </r>
  <r>
    <s v="Team B"/>
    <s v="Agent_9"/>
    <s v="Thursday"/>
    <s v="Evening"/>
    <s v="3-6 months"/>
    <n v="43"/>
    <x v="195"/>
    <n v="0.12"/>
    <n v="0.78"/>
    <n v="4.74"/>
    <n v="0"/>
    <n v="27.12"/>
    <s v="Low"/>
  </r>
  <r>
    <s v="Team B"/>
    <s v="Agent_9"/>
    <s v="Friday"/>
    <s v="Morning"/>
    <s v="3-6 months"/>
    <n v="39"/>
    <x v="182"/>
    <n v="0.06"/>
    <n v="0.89"/>
    <n v="3.84"/>
    <n v="0"/>
    <n v="26.46"/>
    <s v="Low"/>
  </r>
  <r>
    <s v="Team B"/>
    <s v="Agent_9"/>
    <s v="Friday"/>
    <s v="Afternoon"/>
    <s v="6+ months"/>
    <n v="58"/>
    <x v="217"/>
    <n v="0.08"/>
    <n v="0.82"/>
    <n v="4.07"/>
    <n v="2"/>
    <n v="27.6"/>
    <s v="Low"/>
  </r>
  <r>
    <s v="Team B"/>
    <s v="Agent_9"/>
    <s v="Friday"/>
    <s v="Evening"/>
    <s v="6+ months"/>
    <n v="55"/>
    <x v="218"/>
    <n v="0.08"/>
    <n v="0.71"/>
    <n v="4.45"/>
    <n v="1"/>
    <n v="28.56"/>
    <s v="High"/>
  </r>
  <r>
    <s v="Team B"/>
    <s v="Agent_10"/>
    <s v="Monday"/>
    <s v="Morning"/>
    <s v="0-3 months"/>
    <n v="73"/>
    <x v="219"/>
    <n v="0.08"/>
    <n v="0.86"/>
    <n v="4.3499999999999996"/>
    <n v="3"/>
    <n v="31.68"/>
    <s v="High"/>
  </r>
  <r>
    <s v="Team B"/>
    <s v="Agent_10"/>
    <s v="Monday"/>
    <s v="Afternoon"/>
    <s v="0-3 months"/>
    <n v="73"/>
    <x v="220"/>
    <n v="0.25"/>
    <n v="0.9"/>
    <n v="3.98"/>
    <n v="0"/>
    <n v="24.82"/>
    <s v="Low"/>
  </r>
  <r>
    <s v="Team B"/>
    <s v="Agent_10"/>
    <s v="Monday"/>
    <s v="Evening"/>
    <s v="6+ months"/>
    <n v="35"/>
    <x v="220"/>
    <n v="0.03"/>
    <n v="0.72"/>
    <n v="3.54"/>
    <n v="0"/>
    <n v="24.82"/>
    <s v="Low"/>
  </r>
  <r>
    <s v="Team B"/>
    <s v="Agent_10"/>
    <s v="Tuesday"/>
    <s v="Morning"/>
    <s v="6+ months"/>
    <n v="50"/>
    <x v="15"/>
    <n v="7.0000000000000007E-2"/>
    <n v="0.88"/>
    <n v="3.53"/>
    <n v="1"/>
    <n v="24.62"/>
    <s v="Low"/>
  </r>
  <r>
    <s v="Team B"/>
    <s v="Agent_10"/>
    <s v="Tuesday"/>
    <s v="Afternoon"/>
    <s v="6+ months"/>
    <n v="44"/>
    <x v="221"/>
    <n v="0.13"/>
    <n v="0.81"/>
    <n v="4.58"/>
    <n v="1"/>
    <n v="29.57"/>
    <s v="High"/>
  </r>
  <r>
    <s v="Team B"/>
    <s v="Agent_10"/>
    <s v="Tuesday"/>
    <s v="Evening"/>
    <s v="3-6 months"/>
    <n v="66"/>
    <x v="172"/>
    <n v="0.09"/>
    <n v="0.72"/>
    <n v="4.76"/>
    <n v="1"/>
    <n v="26.58"/>
    <s v="Low"/>
  </r>
  <r>
    <s v="Team B"/>
    <s v="Agent_10"/>
    <s v="Wednesday"/>
    <s v="Morning"/>
    <s v="3-6 months"/>
    <n v="70"/>
    <x v="185"/>
    <n v="0.02"/>
    <n v="0.86"/>
    <n v="4.04"/>
    <n v="0"/>
    <n v="27.1"/>
    <s v="Low"/>
  </r>
  <r>
    <s v="Team B"/>
    <s v="Agent_10"/>
    <s v="Wednesday"/>
    <s v="Afternoon"/>
    <s v="3-6 months"/>
    <n v="62"/>
    <x v="22"/>
    <n v="0.13"/>
    <n v="0.86"/>
    <n v="3.59"/>
    <n v="1"/>
    <n v="26.72"/>
    <s v="Low"/>
  </r>
  <r>
    <s v="Team B"/>
    <s v="Agent_10"/>
    <s v="Wednesday"/>
    <s v="Evening"/>
    <s v="3-6 months"/>
    <n v="35"/>
    <x v="169"/>
    <n v="0.05"/>
    <n v="0.81"/>
    <n v="4.0599999999999996"/>
    <n v="0"/>
    <n v="26.34"/>
    <s v="Low"/>
  </r>
  <r>
    <s v="Team B"/>
    <s v="Agent_10"/>
    <s v="Thursday"/>
    <s v="Morning"/>
    <s v="3-6 months"/>
    <n v="31"/>
    <x v="186"/>
    <n v="0.06"/>
    <n v="0.87"/>
    <n v="3.65"/>
    <n v="0"/>
    <n v="28.7"/>
    <s v="High"/>
  </r>
  <r>
    <s v="Team B"/>
    <s v="Agent_10"/>
    <s v="Thursday"/>
    <s v="Afternoon"/>
    <s v="6+ months"/>
    <n v="78"/>
    <x v="69"/>
    <n v="0.05"/>
    <n v="0.79"/>
    <n v="3.71"/>
    <n v="0"/>
    <n v="25.86"/>
    <s v="Low"/>
  </r>
  <r>
    <s v="Team B"/>
    <s v="Agent_10"/>
    <s v="Thursday"/>
    <s v="Evening"/>
    <s v="6+ months"/>
    <n v="51"/>
    <x v="203"/>
    <n v="0.05"/>
    <n v="0.84"/>
    <n v="4.2300000000000004"/>
    <n v="1"/>
    <n v="26.8"/>
    <s v="Low"/>
  </r>
  <r>
    <s v="Team B"/>
    <s v="Agent_10"/>
    <s v="Friday"/>
    <s v="Morning"/>
    <s v="3-6 months"/>
    <n v="31"/>
    <x v="222"/>
    <n v="0.03"/>
    <n v="0.82"/>
    <n v="4.68"/>
    <n v="0"/>
    <n v="26.94"/>
    <s v="Low"/>
  </r>
  <r>
    <s v="Team B"/>
    <s v="Agent_10"/>
    <s v="Friday"/>
    <s v="Afternoon"/>
    <s v="3-6 months"/>
    <n v="35"/>
    <x v="223"/>
    <n v="7.0000000000000007E-2"/>
    <n v="0.76"/>
    <n v="4.07"/>
    <n v="0"/>
    <n v="25.05"/>
    <s v="Low"/>
  </r>
  <r>
    <s v="Team B"/>
    <s v="Agent_10"/>
    <s v="Friday"/>
    <s v="Evening"/>
    <s v="0-3 months"/>
    <n v="37"/>
    <x v="224"/>
    <n v="0.12"/>
    <n v="0.8"/>
    <n v="4.25"/>
    <n v="1"/>
    <n v="25.06"/>
    <s v="Low"/>
  </r>
  <r>
    <s v="Team C"/>
    <s v="Agent_1"/>
    <s v="Monday"/>
    <s v="Morning"/>
    <s v="6+ months"/>
    <n v="76"/>
    <x v="225"/>
    <n v="0.09"/>
    <n v="0.77"/>
    <n v="4.3"/>
    <n v="0"/>
    <n v="19.86"/>
    <s v="Low"/>
  </r>
  <r>
    <s v="Team C"/>
    <s v="Agent_1"/>
    <s v="Monday"/>
    <s v="Afternoon"/>
    <s v="6+ months"/>
    <n v="72"/>
    <x v="50"/>
    <n v="0.15"/>
    <n v="0.77"/>
    <n v="3.76"/>
    <n v="0"/>
    <n v="25.59"/>
    <s v="Low"/>
  </r>
  <r>
    <s v="Team C"/>
    <s v="Agent_1"/>
    <s v="Monday"/>
    <s v="Evening"/>
    <s v="6+ months"/>
    <n v="77"/>
    <x v="93"/>
    <n v="0.1"/>
    <n v="0.62"/>
    <n v="4.6500000000000004"/>
    <n v="2"/>
    <n v="27.7"/>
    <s v="High"/>
  </r>
  <r>
    <s v="Team C"/>
    <s v="Agent_1"/>
    <s v="Tuesday"/>
    <s v="Morning"/>
    <s v="3-6 months"/>
    <n v="45"/>
    <x v="7"/>
    <n v="0.15"/>
    <n v="0.82"/>
    <n v="3.66"/>
    <n v="1"/>
    <n v="24.26"/>
    <s v="Low"/>
  </r>
  <r>
    <s v="Team C"/>
    <s v="Agent_1"/>
    <s v="Tuesday"/>
    <s v="Afternoon"/>
    <s v="3-6 months"/>
    <n v="57"/>
    <x v="80"/>
    <n v="0.04"/>
    <n v="0.75"/>
    <n v="4.2300000000000004"/>
    <n v="0"/>
    <n v="23.72"/>
    <s v="Low"/>
  </r>
  <r>
    <s v="Team C"/>
    <s v="Agent_1"/>
    <s v="Tuesday"/>
    <s v="Evening"/>
    <s v="6+ months"/>
    <n v="63"/>
    <x v="207"/>
    <n v="0.05"/>
    <n v="0.69"/>
    <n v="4.7699999999999996"/>
    <n v="0"/>
    <n v="25.48"/>
    <s v="Low"/>
  </r>
  <r>
    <s v="Team C"/>
    <s v="Agent_1"/>
    <s v="Wednesday"/>
    <s v="Morning"/>
    <s v="0-3 months"/>
    <n v="67"/>
    <x v="57"/>
    <n v="0.13"/>
    <n v="0.82"/>
    <n v="4.57"/>
    <n v="0"/>
    <n v="26.72"/>
    <s v="Low"/>
  </r>
  <r>
    <s v="Team C"/>
    <s v="Agent_1"/>
    <s v="Wednesday"/>
    <s v="Afternoon"/>
    <s v="3-6 months"/>
    <n v="63"/>
    <x v="226"/>
    <n v="0.13"/>
    <n v="0.88"/>
    <n v="4.18"/>
    <n v="0"/>
    <n v="24.52"/>
    <s v="Low"/>
  </r>
  <r>
    <s v="Team C"/>
    <s v="Agent_1"/>
    <s v="Wednesday"/>
    <s v="Evening"/>
    <s v="0-3 months"/>
    <n v="55"/>
    <x v="227"/>
    <n v="0.09"/>
    <n v="0.69"/>
    <n v="4.09"/>
    <n v="1"/>
    <n v="25.64"/>
    <s v="Low"/>
  </r>
  <r>
    <s v="Team C"/>
    <s v="Agent_1"/>
    <s v="Thursday"/>
    <s v="Morning"/>
    <s v="3-6 months"/>
    <n v="77"/>
    <x v="228"/>
    <n v="0.1"/>
    <n v="0.86"/>
    <n v="4.55"/>
    <n v="2"/>
    <n v="27.44"/>
    <s v="Low"/>
  </r>
  <r>
    <s v="Team C"/>
    <s v="Agent_1"/>
    <s v="Thursday"/>
    <s v="Afternoon"/>
    <s v="0-3 months"/>
    <n v="62"/>
    <x v="77"/>
    <n v="0.13"/>
    <n v="0.85"/>
    <n v="3.59"/>
    <n v="0"/>
    <n v="24.56"/>
    <s v="Low"/>
  </r>
  <r>
    <s v="Team C"/>
    <s v="Agent_1"/>
    <s v="Thursday"/>
    <s v="Evening"/>
    <s v="6+ months"/>
    <n v="30"/>
    <x v="229"/>
    <n v="0.13"/>
    <n v="0.67"/>
    <n v="4.34"/>
    <n v="1"/>
    <n v="24.82"/>
    <s v="Low"/>
  </r>
  <r>
    <s v="Team C"/>
    <s v="Agent_1"/>
    <s v="Friday"/>
    <s v="Morning"/>
    <s v="3-6 months"/>
    <n v="67"/>
    <x v="230"/>
    <n v="0.12"/>
    <n v="0.81"/>
    <n v="4.49"/>
    <n v="2"/>
    <n v="27.12"/>
    <s v="Low"/>
  </r>
  <r>
    <s v="Team C"/>
    <s v="Agent_1"/>
    <s v="Friday"/>
    <s v="Afternoon"/>
    <s v="0-3 months"/>
    <n v="38"/>
    <x v="80"/>
    <n v="0.25"/>
    <n v="0.85"/>
    <n v="3.84"/>
    <n v="2"/>
    <n v="27.72"/>
    <s v="High"/>
  </r>
  <r>
    <s v="Team C"/>
    <s v="Agent_1"/>
    <s v="Friday"/>
    <s v="Evening"/>
    <s v="3-6 months"/>
    <n v="52"/>
    <x v="231"/>
    <n v="7.0000000000000007E-2"/>
    <n v="0.66"/>
    <n v="4"/>
    <n v="0"/>
    <n v="23.43"/>
    <s v="Low"/>
  </r>
  <r>
    <s v="Team C"/>
    <s v="Agent_2"/>
    <s v="Monday"/>
    <s v="Morning"/>
    <s v="3-6 months"/>
    <n v="43"/>
    <x v="232"/>
    <n v="0.08"/>
    <n v="0.75"/>
    <n v="4.05"/>
    <n v="0"/>
    <n v="22.29"/>
    <s v="Low"/>
  </r>
  <r>
    <s v="Team C"/>
    <s v="Agent_2"/>
    <s v="Monday"/>
    <s v="Afternoon"/>
    <s v="6+ months"/>
    <n v="51"/>
    <x v="233"/>
    <n v="0.14000000000000001"/>
    <n v="0.86"/>
    <n v="4.55"/>
    <n v="0"/>
    <n v="23.34"/>
    <s v="Low"/>
  </r>
  <r>
    <s v="Team C"/>
    <s v="Agent_2"/>
    <s v="Monday"/>
    <s v="Evening"/>
    <s v="6+ months"/>
    <n v="38"/>
    <x v="8"/>
    <n v="0.06"/>
    <n v="0.81"/>
    <n v="3.87"/>
    <n v="2"/>
    <n v="29.12"/>
    <s v="High"/>
  </r>
  <r>
    <s v="Team C"/>
    <s v="Agent_2"/>
    <s v="Tuesday"/>
    <s v="Morning"/>
    <s v="0-3 months"/>
    <n v="67"/>
    <x v="234"/>
    <n v="0.26"/>
    <n v="0.76"/>
    <n v="3.79"/>
    <n v="1"/>
    <n v="23.45"/>
    <s v="Low"/>
  </r>
  <r>
    <s v="Team C"/>
    <s v="Agent_2"/>
    <s v="Tuesday"/>
    <s v="Afternoon"/>
    <s v="3-6 months"/>
    <n v="33"/>
    <x v="203"/>
    <n v="0.13"/>
    <n v="0.88"/>
    <n v="3.93"/>
    <n v="0"/>
    <n v="24.8"/>
    <s v="Low"/>
  </r>
  <r>
    <s v="Team C"/>
    <s v="Agent_2"/>
    <s v="Tuesday"/>
    <s v="Evening"/>
    <s v="6+ months"/>
    <n v="45"/>
    <x v="235"/>
    <n v="0.02"/>
    <n v="0.75"/>
    <n v="4.79"/>
    <n v="2"/>
    <n v="29.1"/>
    <s v="High"/>
  </r>
  <r>
    <s v="Team C"/>
    <s v="Agent_2"/>
    <s v="Wednesday"/>
    <s v="Morning"/>
    <s v="3-6 months"/>
    <n v="34"/>
    <x v="236"/>
    <n v="0.05"/>
    <n v="0.78"/>
    <n v="4.13"/>
    <n v="1"/>
    <n v="25.02"/>
    <s v="Low"/>
  </r>
  <r>
    <s v="Team C"/>
    <s v="Agent_2"/>
    <s v="Wednesday"/>
    <s v="Afternoon"/>
    <s v="3-6 months"/>
    <n v="38"/>
    <x v="171"/>
    <n v="0.13"/>
    <n v="0.84"/>
    <n v="4.17"/>
    <n v="0"/>
    <n v="25.47"/>
    <s v="Low"/>
  </r>
  <r>
    <s v="Team C"/>
    <s v="Agent_2"/>
    <s v="Wednesday"/>
    <s v="Evening"/>
    <s v="3-6 months"/>
    <n v="41"/>
    <x v="49"/>
    <n v="0.08"/>
    <n v="0.63"/>
    <n v="3.94"/>
    <n v="0"/>
    <n v="24.75"/>
    <s v="Low"/>
  </r>
  <r>
    <s v="Team C"/>
    <s v="Agent_2"/>
    <s v="Thursday"/>
    <s v="Morning"/>
    <s v="0-3 months"/>
    <n v="50"/>
    <x v="237"/>
    <n v="0.23"/>
    <n v="0.79"/>
    <n v="4.17"/>
    <n v="0"/>
    <n v="25.83"/>
    <s v="Low"/>
  </r>
  <r>
    <s v="Team C"/>
    <s v="Agent_2"/>
    <s v="Thursday"/>
    <s v="Afternoon"/>
    <s v="3-6 months"/>
    <n v="74"/>
    <x v="238"/>
    <n v="0.15"/>
    <n v="0.79"/>
    <n v="3.85"/>
    <n v="0"/>
    <n v="26.62"/>
    <s v="Low"/>
  </r>
  <r>
    <s v="Team C"/>
    <s v="Agent_2"/>
    <s v="Thursday"/>
    <s v="Evening"/>
    <s v="6+ months"/>
    <n v="37"/>
    <x v="1"/>
    <n v="0.05"/>
    <n v="0.69"/>
    <n v="4.1100000000000003"/>
    <n v="0"/>
    <n v="23.07"/>
    <s v="Low"/>
  </r>
  <r>
    <s v="Team C"/>
    <s v="Agent_2"/>
    <s v="Friday"/>
    <s v="Morning"/>
    <s v="0-3 months"/>
    <n v="71"/>
    <x v="239"/>
    <n v="0.28999999999999998"/>
    <n v="0.8"/>
    <n v="4.13"/>
    <n v="0"/>
    <n v="24.28"/>
    <s v="Low"/>
  </r>
  <r>
    <s v="Team C"/>
    <s v="Agent_2"/>
    <s v="Friday"/>
    <s v="Afternoon"/>
    <s v="3-6 months"/>
    <n v="74"/>
    <x v="240"/>
    <n v="0.09"/>
    <n v="0.88"/>
    <n v="3.56"/>
    <n v="2"/>
    <n v="31.72"/>
    <s v="High"/>
  </r>
  <r>
    <s v="Team C"/>
    <s v="Agent_2"/>
    <s v="Friday"/>
    <s v="Evening"/>
    <s v="6+ months"/>
    <n v="62"/>
    <x v="18"/>
    <n v="0.06"/>
    <n v="0.8"/>
    <n v="4.24"/>
    <n v="0"/>
    <n v="22.95"/>
    <s v="Low"/>
  </r>
  <r>
    <s v="Team C"/>
    <s v="Agent_3"/>
    <s v="Monday"/>
    <s v="Morning"/>
    <s v="0-3 months"/>
    <n v="70"/>
    <x v="82"/>
    <n v="0.2"/>
    <n v="0.77"/>
    <n v="3.95"/>
    <n v="0"/>
    <n v="22.83"/>
    <s v="Low"/>
  </r>
  <r>
    <s v="Team C"/>
    <s v="Agent_3"/>
    <s v="Monday"/>
    <s v="Afternoon"/>
    <s v="6+ months"/>
    <n v="42"/>
    <x v="80"/>
    <n v="0.11"/>
    <n v="0.76"/>
    <n v="4.09"/>
    <n v="2"/>
    <n v="27.72"/>
    <s v="High"/>
  </r>
  <r>
    <s v="Team C"/>
    <s v="Agent_3"/>
    <s v="Monday"/>
    <s v="Evening"/>
    <s v="0-3 months"/>
    <n v="69"/>
    <x v="241"/>
    <n v="0.28000000000000003"/>
    <n v="0.78"/>
    <n v="4.29"/>
    <n v="0"/>
    <n v="21.3"/>
    <s v="Low"/>
  </r>
  <r>
    <s v="Team C"/>
    <s v="Agent_3"/>
    <s v="Tuesday"/>
    <s v="Morning"/>
    <s v="6+ months"/>
    <n v="68"/>
    <x v="242"/>
    <n v="0.14000000000000001"/>
    <n v="0.86"/>
    <n v="4.62"/>
    <n v="0"/>
    <n v="21.63"/>
    <s v="Low"/>
  </r>
  <r>
    <s v="Team C"/>
    <s v="Agent_3"/>
    <s v="Tuesday"/>
    <s v="Afternoon"/>
    <s v="6+ months"/>
    <n v="76"/>
    <x v="152"/>
    <n v="0.11"/>
    <n v="0.77"/>
    <n v="4"/>
    <n v="0"/>
    <n v="24.21"/>
    <s v="Low"/>
  </r>
  <r>
    <s v="Team C"/>
    <s v="Agent_3"/>
    <s v="Tuesday"/>
    <s v="Evening"/>
    <s v="3-6 months"/>
    <n v="48"/>
    <x v="243"/>
    <n v="0.1"/>
    <n v="0.74"/>
    <n v="4.67"/>
    <n v="0"/>
    <n v="23.08"/>
    <s v="Low"/>
  </r>
  <r>
    <s v="Team C"/>
    <s v="Agent_3"/>
    <s v="Wednesday"/>
    <s v="Morning"/>
    <s v="3-6 months"/>
    <n v="70"/>
    <x v="21"/>
    <n v="0.11"/>
    <n v="0.8"/>
    <n v="4.2699999999999996"/>
    <n v="0"/>
    <n v="24.26"/>
    <s v="Low"/>
  </r>
  <r>
    <s v="Team C"/>
    <s v="Agent_3"/>
    <s v="Wednesday"/>
    <s v="Afternoon"/>
    <s v="3-6 months"/>
    <n v="38"/>
    <x v="114"/>
    <n v="0.1"/>
    <n v="0.88"/>
    <n v="4.4400000000000004"/>
    <n v="0"/>
    <n v="24.66"/>
    <s v="Low"/>
  </r>
  <r>
    <s v="Team C"/>
    <s v="Agent_3"/>
    <s v="Wednesday"/>
    <s v="Evening"/>
    <s v="6+ months"/>
    <n v="67"/>
    <x v="244"/>
    <n v="0.09"/>
    <n v="0.71"/>
    <n v="3.61"/>
    <n v="0"/>
    <n v="24.84"/>
    <s v="Low"/>
  </r>
  <r>
    <s v="Team C"/>
    <s v="Agent_3"/>
    <s v="Thursday"/>
    <s v="Morning"/>
    <s v="6+ months"/>
    <n v="78"/>
    <x v="100"/>
    <n v="0.05"/>
    <n v="0.82"/>
    <n v="4.5599999999999996"/>
    <n v="0"/>
    <n v="25.38"/>
    <s v="Low"/>
  </r>
  <r>
    <s v="Team C"/>
    <s v="Agent_3"/>
    <s v="Thursday"/>
    <s v="Afternoon"/>
    <s v="3-6 months"/>
    <n v="72"/>
    <x v="102"/>
    <n v="0.06"/>
    <n v="0.8"/>
    <n v="4.53"/>
    <n v="0"/>
    <n v="26.76"/>
    <s v="Low"/>
  </r>
  <r>
    <s v="Team C"/>
    <s v="Agent_3"/>
    <s v="Thursday"/>
    <s v="Evening"/>
    <s v="6+ months"/>
    <n v="32"/>
    <x v="245"/>
    <n v="0.08"/>
    <n v="0.74"/>
    <n v="4.49"/>
    <n v="0"/>
    <n v="22.88"/>
    <s v="Low"/>
  </r>
  <r>
    <s v="Team C"/>
    <s v="Agent_3"/>
    <s v="Friday"/>
    <s v="Morning"/>
    <s v="6+ months"/>
    <n v="61"/>
    <x v="167"/>
    <n v="0.11"/>
    <n v="0.85"/>
    <n v="3.99"/>
    <n v="0"/>
    <n v="25.95"/>
    <s v="Low"/>
  </r>
  <r>
    <s v="Team C"/>
    <s v="Agent_3"/>
    <s v="Friday"/>
    <s v="Afternoon"/>
    <s v="3-6 months"/>
    <n v="33"/>
    <x v="246"/>
    <n v="0.03"/>
    <n v="0.86"/>
    <n v="4.7300000000000004"/>
    <n v="0"/>
    <n v="21.51"/>
    <s v="Low"/>
  </r>
  <r>
    <s v="Team C"/>
    <s v="Agent_3"/>
    <s v="Friday"/>
    <s v="Evening"/>
    <s v="3-6 months"/>
    <n v="47"/>
    <x v="247"/>
    <n v="0.03"/>
    <n v="0.7"/>
    <n v="3.9"/>
    <n v="1"/>
    <n v="23.88"/>
    <s v="Low"/>
  </r>
  <r>
    <s v="Team C"/>
    <s v="Agent_4"/>
    <s v="Monday"/>
    <s v="Morning"/>
    <s v="3-6 months"/>
    <n v="63"/>
    <x v="121"/>
    <n v="0.13"/>
    <n v="0.84"/>
    <n v="4.2300000000000004"/>
    <n v="0"/>
    <n v="25.82"/>
    <s v="Low"/>
  </r>
  <r>
    <s v="Team C"/>
    <s v="Agent_4"/>
    <s v="Monday"/>
    <s v="Afternoon"/>
    <s v="0-3 months"/>
    <n v="79"/>
    <x v="248"/>
    <n v="0.18"/>
    <n v="0.89"/>
    <n v="4"/>
    <n v="0"/>
    <n v="23.3"/>
    <s v="Low"/>
  </r>
  <r>
    <s v="Team C"/>
    <s v="Agent_4"/>
    <s v="Monday"/>
    <s v="Evening"/>
    <s v="0-3 months"/>
    <n v="56"/>
    <x v="75"/>
    <n v="0.09"/>
    <n v="0.61"/>
    <n v="4.4800000000000004"/>
    <n v="0"/>
    <n v="23.98"/>
    <s v="Low"/>
  </r>
  <r>
    <s v="Team C"/>
    <s v="Agent_4"/>
    <s v="Tuesday"/>
    <s v="Morning"/>
    <s v="0-3 months"/>
    <n v="66"/>
    <x v="97"/>
    <n v="0.14000000000000001"/>
    <n v="0.82"/>
    <n v="4.08"/>
    <n v="3"/>
    <n v="29.38"/>
    <s v="High"/>
  </r>
  <r>
    <s v="Team C"/>
    <s v="Agent_4"/>
    <s v="Tuesday"/>
    <s v="Afternoon"/>
    <s v="3-6 months"/>
    <n v="58"/>
    <x v="249"/>
    <n v="0.06"/>
    <n v="0.89"/>
    <n v="4.01"/>
    <n v="0"/>
    <n v="25.6"/>
    <s v="Low"/>
  </r>
  <r>
    <s v="Team C"/>
    <s v="Agent_4"/>
    <s v="Tuesday"/>
    <s v="Evening"/>
    <s v="3-6 months"/>
    <n v="33"/>
    <x v="46"/>
    <n v="0.09"/>
    <n v="0.64"/>
    <n v="3.82"/>
    <n v="2"/>
    <n v="27.97"/>
    <s v="High"/>
  </r>
  <r>
    <s v="Team C"/>
    <s v="Agent_4"/>
    <s v="Wednesday"/>
    <s v="Morning"/>
    <s v="3-6 months"/>
    <n v="63"/>
    <x v="58"/>
    <n v="0.05"/>
    <n v="0.78"/>
    <n v="3.57"/>
    <n v="0"/>
    <n v="24.6"/>
    <s v="Low"/>
  </r>
  <r>
    <s v="Team C"/>
    <s v="Agent_4"/>
    <s v="Wednesday"/>
    <s v="Afternoon"/>
    <s v="0-3 months"/>
    <n v="73"/>
    <x v="21"/>
    <n v="0.09"/>
    <n v="0.84"/>
    <n v="4.8"/>
    <n v="0"/>
    <n v="24.26"/>
    <s v="Low"/>
  </r>
  <r>
    <s v="Team C"/>
    <s v="Agent_4"/>
    <s v="Wednesday"/>
    <s v="Evening"/>
    <s v="6+ months"/>
    <n v="65"/>
    <x v="146"/>
    <n v="7.0000000000000007E-2"/>
    <n v="0.85"/>
    <n v="4.6399999999999997"/>
    <n v="1"/>
    <n v="27.89"/>
    <s v="High"/>
  </r>
  <r>
    <s v="Team C"/>
    <s v="Agent_4"/>
    <s v="Thursday"/>
    <s v="Morning"/>
    <s v="3-6 months"/>
    <n v="48"/>
    <x v="125"/>
    <n v="0.03"/>
    <n v="0.82"/>
    <n v="4.21"/>
    <n v="0"/>
    <n v="23.32"/>
    <s v="Low"/>
  </r>
  <r>
    <s v="Team C"/>
    <s v="Agent_4"/>
    <s v="Thursday"/>
    <s v="Afternoon"/>
    <s v="6+ months"/>
    <n v="63"/>
    <x v="250"/>
    <n v="0.11"/>
    <n v="0.83"/>
    <n v="4.63"/>
    <n v="0"/>
    <n v="22.08"/>
    <s v="Low"/>
  </r>
  <r>
    <s v="Team C"/>
    <s v="Agent_4"/>
    <s v="Thursday"/>
    <s v="Evening"/>
    <s v="6+ months"/>
    <n v="57"/>
    <x v="251"/>
    <n v="0.08"/>
    <n v="0.61"/>
    <n v="4.76"/>
    <n v="2"/>
    <n v="28.24"/>
    <s v="High"/>
  </r>
  <r>
    <s v="Team C"/>
    <s v="Agent_4"/>
    <s v="Friday"/>
    <s v="Morning"/>
    <s v="3-6 months"/>
    <n v="73"/>
    <x v="6"/>
    <n v="0.08"/>
    <n v="0.88"/>
    <n v="4.2699999999999996"/>
    <n v="0"/>
    <n v="23.42"/>
    <s v="Low"/>
  </r>
  <r>
    <s v="Team C"/>
    <s v="Agent_4"/>
    <s v="Friday"/>
    <s v="Afternoon"/>
    <s v="0-3 months"/>
    <n v="62"/>
    <x v="252"/>
    <n v="0.2"/>
    <n v="0.89"/>
    <n v="3.97"/>
    <n v="1"/>
    <n v="23.28"/>
    <s v="Low"/>
  </r>
  <r>
    <s v="Team C"/>
    <s v="Agent_4"/>
    <s v="Friday"/>
    <s v="Evening"/>
    <s v="6+ months"/>
    <n v="56"/>
    <x v="253"/>
    <n v="7.0000000000000007E-2"/>
    <n v="0.81"/>
    <n v="4.49"/>
    <n v="0"/>
    <n v="26.91"/>
    <s v="Low"/>
  </r>
  <r>
    <s v="Team C"/>
    <s v="Agent_5"/>
    <s v="Monday"/>
    <s v="Morning"/>
    <s v="6+ months"/>
    <n v="77"/>
    <x v="254"/>
    <n v="0.06"/>
    <n v="0.79"/>
    <n v="3.54"/>
    <n v="3"/>
    <n v="28.47"/>
    <s v="High"/>
  </r>
  <r>
    <s v="Team C"/>
    <s v="Agent_5"/>
    <s v="Monday"/>
    <s v="Afternoon"/>
    <s v="0-3 months"/>
    <n v="45"/>
    <x v="229"/>
    <n v="0.24"/>
    <n v="0.89"/>
    <n v="3.54"/>
    <n v="2"/>
    <n v="26.82"/>
    <s v="Low"/>
  </r>
  <r>
    <s v="Team C"/>
    <s v="Agent_5"/>
    <s v="Monday"/>
    <s v="Evening"/>
    <s v="3-6 months"/>
    <n v="50"/>
    <x v="255"/>
    <n v="0.06"/>
    <n v="0.65"/>
    <n v="4.74"/>
    <n v="0"/>
    <n v="25.72"/>
    <s v="Low"/>
  </r>
  <r>
    <s v="Team C"/>
    <s v="Agent_5"/>
    <s v="Tuesday"/>
    <s v="Morning"/>
    <s v="6+ months"/>
    <n v="37"/>
    <x v="256"/>
    <n v="0.15"/>
    <n v="0.76"/>
    <n v="3.5"/>
    <n v="0"/>
    <n v="23.2"/>
    <s v="Low"/>
  </r>
  <r>
    <s v="Team C"/>
    <s v="Agent_5"/>
    <s v="Tuesday"/>
    <s v="Afternoon"/>
    <s v="3-6 months"/>
    <n v="66"/>
    <x v="257"/>
    <n v="0.12"/>
    <n v="0.87"/>
    <n v="4.3600000000000003"/>
    <n v="1"/>
    <n v="25.04"/>
    <s v="Low"/>
  </r>
  <r>
    <s v="Team C"/>
    <s v="Agent_5"/>
    <s v="Tuesday"/>
    <s v="Evening"/>
    <s v="6+ months"/>
    <n v="31"/>
    <x v="258"/>
    <n v="0.03"/>
    <n v="0.7"/>
    <n v="4.4400000000000004"/>
    <n v="0"/>
    <n v="24.64"/>
    <s v="Low"/>
  </r>
  <r>
    <s v="Team C"/>
    <s v="Agent_5"/>
    <s v="Wednesday"/>
    <s v="Morning"/>
    <s v="3-6 months"/>
    <n v="60"/>
    <x v="80"/>
    <n v="0.03"/>
    <n v="0.87"/>
    <n v="4.7300000000000004"/>
    <n v="0"/>
    <n v="23.72"/>
    <s v="Low"/>
  </r>
  <r>
    <s v="Team C"/>
    <s v="Agent_5"/>
    <s v="Wednesday"/>
    <s v="Afternoon"/>
    <s v="6+ months"/>
    <n v="67"/>
    <x v="259"/>
    <n v="0.06"/>
    <n v="0.76"/>
    <n v="4.1500000000000004"/>
    <n v="1"/>
    <n v="25.18"/>
    <s v="Low"/>
  </r>
  <r>
    <s v="Team C"/>
    <s v="Agent_5"/>
    <s v="Wednesday"/>
    <s v="Evening"/>
    <s v="6+ months"/>
    <n v="31"/>
    <x v="260"/>
    <n v="0.06"/>
    <n v="0.66"/>
    <n v="3.87"/>
    <n v="2"/>
    <n v="27.76"/>
    <s v="High"/>
  </r>
  <r>
    <s v="Team C"/>
    <s v="Agent_5"/>
    <s v="Thursday"/>
    <s v="Morning"/>
    <s v="6+ months"/>
    <n v="56"/>
    <x v="29"/>
    <n v="0.02"/>
    <n v="0.84"/>
    <n v="4.59"/>
    <n v="0"/>
    <n v="22.94"/>
    <s v="Low"/>
  </r>
  <r>
    <s v="Team C"/>
    <s v="Agent_5"/>
    <s v="Thursday"/>
    <s v="Afternoon"/>
    <s v="0-3 months"/>
    <n v="42"/>
    <x v="107"/>
    <n v="0.21"/>
    <n v="0.77"/>
    <n v="4.66"/>
    <n v="0"/>
    <n v="21.52"/>
    <s v="Low"/>
  </r>
  <r>
    <s v="Team C"/>
    <s v="Agent_5"/>
    <s v="Thursday"/>
    <s v="Evening"/>
    <s v="3-6 months"/>
    <n v="39"/>
    <x v="39"/>
    <n v="0.13"/>
    <n v="0.74"/>
    <n v="4.33"/>
    <n v="0"/>
    <n v="25.8"/>
    <s v="Low"/>
  </r>
  <r>
    <s v="Team C"/>
    <s v="Agent_5"/>
    <s v="Friday"/>
    <s v="Morning"/>
    <s v="3-6 months"/>
    <n v="75"/>
    <x v="22"/>
    <n v="0.09"/>
    <n v="0.83"/>
    <n v="3.69"/>
    <n v="1"/>
    <n v="26.72"/>
    <s v="Low"/>
  </r>
  <r>
    <s v="Team C"/>
    <s v="Agent_5"/>
    <s v="Friday"/>
    <s v="Afternoon"/>
    <s v="0-3 months"/>
    <n v="60"/>
    <x v="261"/>
    <n v="0.12"/>
    <n v="0.77"/>
    <n v="4.32"/>
    <n v="0"/>
    <n v="24.76"/>
    <s v="Low"/>
  </r>
  <r>
    <s v="Team C"/>
    <s v="Agent_5"/>
    <s v="Friday"/>
    <s v="Evening"/>
    <s v="6+ months"/>
    <n v="44"/>
    <x v="113"/>
    <n v="0.1"/>
    <n v="0.82"/>
    <n v="4.26"/>
    <n v="0"/>
    <n v="25.06"/>
    <s v="Low"/>
  </r>
  <r>
    <s v="Team C"/>
    <s v="Agent_6"/>
    <s v="Monday"/>
    <s v="Morning"/>
    <s v="3-6 months"/>
    <n v="73"/>
    <x v="161"/>
    <n v="0.12"/>
    <n v="0.8"/>
    <n v="3.63"/>
    <n v="0"/>
    <n v="25.4"/>
    <s v="Low"/>
  </r>
  <r>
    <s v="Team C"/>
    <s v="Agent_6"/>
    <s v="Monday"/>
    <s v="Afternoon"/>
    <s v="0-3 months"/>
    <n v="56"/>
    <x v="164"/>
    <n v="0.28000000000000003"/>
    <n v="0.89"/>
    <n v="4.05"/>
    <n v="0"/>
    <n v="24.32"/>
    <s v="Low"/>
  </r>
  <r>
    <s v="Team C"/>
    <s v="Agent_6"/>
    <s v="Monday"/>
    <s v="Evening"/>
    <s v="6+ months"/>
    <n v="66"/>
    <x v="50"/>
    <n v="0.04"/>
    <n v="0.61"/>
    <n v="4.2300000000000004"/>
    <n v="2"/>
    <n v="29.59"/>
    <s v="High"/>
  </r>
  <r>
    <s v="Team C"/>
    <s v="Agent_6"/>
    <s v="Tuesday"/>
    <s v="Morning"/>
    <s v="6+ months"/>
    <n v="39"/>
    <x v="97"/>
    <n v="0.13"/>
    <n v="0.78"/>
    <n v="3.86"/>
    <n v="0"/>
    <n v="23.38"/>
    <s v="Low"/>
  </r>
  <r>
    <s v="Team C"/>
    <s v="Agent_6"/>
    <s v="Tuesday"/>
    <s v="Afternoon"/>
    <s v="3-6 months"/>
    <n v="54"/>
    <x v="243"/>
    <n v="0.06"/>
    <n v="0.77"/>
    <n v="4.5199999999999996"/>
    <n v="1"/>
    <n v="25.08"/>
    <s v="Low"/>
  </r>
  <r>
    <s v="Team C"/>
    <s v="Agent_6"/>
    <s v="Tuesday"/>
    <s v="Evening"/>
    <s v="0-3 months"/>
    <n v="66"/>
    <x v="262"/>
    <n v="0.27"/>
    <n v="0.72"/>
    <n v="3.64"/>
    <n v="1"/>
    <n v="22.36"/>
    <s v="Low"/>
  </r>
  <r>
    <s v="Team C"/>
    <s v="Agent_6"/>
    <s v="Wednesday"/>
    <s v="Morning"/>
    <s v="6+ months"/>
    <n v="70"/>
    <x v="51"/>
    <n v="0.03"/>
    <n v="0.87"/>
    <n v="4.04"/>
    <n v="2"/>
    <n v="27.96"/>
    <s v="High"/>
  </r>
  <r>
    <s v="Team C"/>
    <s v="Agent_6"/>
    <s v="Wednesday"/>
    <s v="Afternoon"/>
    <s v="6+ months"/>
    <n v="45"/>
    <x v="161"/>
    <n v="0.11"/>
    <n v="0.85"/>
    <n v="4.54"/>
    <n v="1"/>
    <n v="27.4"/>
    <s v="Low"/>
  </r>
  <r>
    <s v="Team C"/>
    <s v="Agent_6"/>
    <s v="Wednesday"/>
    <s v="Evening"/>
    <s v="0-3 months"/>
    <n v="38"/>
    <x v="19"/>
    <n v="0.08"/>
    <n v="0.76"/>
    <n v="4.46"/>
    <n v="0"/>
    <n v="23.5"/>
    <s v="Low"/>
  </r>
  <r>
    <s v="Team C"/>
    <s v="Agent_6"/>
    <s v="Thursday"/>
    <s v="Morning"/>
    <s v="3-6 months"/>
    <n v="50"/>
    <x v="63"/>
    <n v="0.1"/>
    <n v="0.76"/>
    <n v="3.56"/>
    <n v="1"/>
    <n v="25.49"/>
    <s v="Low"/>
  </r>
  <r>
    <s v="Team C"/>
    <s v="Agent_6"/>
    <s v="Thursday"/>
    <s v="Afternoon"/>
    <s v="6+ months"/>
    <n v="39"/>
    <x v="222"/>
    <n v="0.09"/>
    <n v="0.76"/>
    <n v="4.3899999999999997"/>
    <n v="0"/>
    <n v="26.94"/>
    <s v="Low"/>
  </r>
  <r>
    <s v="Team C"/>
    <s v="Agent_6"/>
    <s v="Thursday"/>
    <s v="Evening"/>
    <s v="6+ months"/>
    <n v="31"/>
    <x v="119"/>
    <n v="7.0000000000000007E-2"/>
    <n v="0.73"/>
    <n v="4.2699999999999996"/>
    <n v="0"/>
    <n v="23.67"/>
    <s v="Low"/>
  </r>
  <r>
    <s v="Team C"/>
    <s v="Agent_6"/>
    <s v="Friday"/>
    <s v="Morning"/>
    <s v="3-6 months"/>
    <n v="65"/>
    <x v="263"/>
    <n v="0.03"/>
    <n v="0.81"/>
    <n v="4.49"/>
    <n v="0"/>
    <n v="20.04"/>
    <s v="Low"/>
  </r>
  <r>
    <s v="Team C"/>
    <s v="Agent_6"/>
    <s v="Friday"/>
    <s v="Afternoon"/>
    <s v="0-3 months"/>
    <n v="46"/>
    <x v="114"/>
    <n v="0.08"/>
    <n v="0.75"/>
    <n v="4.5"/>
    <n v="2"/>
    <n v="28.66"/>
    <s v="High"/>
  </r>
  <r>
    <s v="Team C"/>
    <s v="Agent_6"/>
    <s v="Friday"/>
    <s v="Evening"/>
    <s v="0-3 months"/>
    <n v="35"/>
    <x v="264"/>
    <n v="0.16"/>
    <n v="0.68"/>
    <n v="3.94"/>
    <n v="1"/>
    <n v="26.03"/>
    <s v="Low"/>
  </r>
  <r>
    <s v="Team C"/>
    <s v="Agent_7"/>
    <s v="Monday"/>
    <s v="Morning"/>
    <s v="0-3 months"/>
    <n v="41"/>
    <x v="251"/>
    <n v="0.26"/>
    <n v="0.75"/>
    <n v="4.67"/>
    <n v="1"/>
    <n v="26.24"/>
    <s v="Low"/>
  </r>
  <r>
    <s v="Team C"/>
    <s v="Agent_7"/>
    <s v="Monday"/>
    <s v="Afternoon"/>
    <s v="6+ months"/>
    <n v="37"/>
    <x v="89"/>
    <n v="0.05"/>
    <n v="0.77"/>
    <n v="4.67"/>
    <n v="1"/>
    <n v="26.08"/>
    <s v="Low"/>
  </r>
  <r>
    <s v="Team C"/>
    <s v="Agent_7"/>
    <s v="Monday"/>
    <s v="Evening"/>
    <s v="6+ months"/>
    <n v="63"/>
    <x v="134"/>
    <n v="0.08"/>
    <n v="0.61"/>
    <n v="4.75"/>
    <n v="2"/>
    <n v="30.5"/>
    <s v="High"/>
  </r>
  <r>
    <s v="Team C"/>
    <s v="Agent_7"/>
    <s v="Tuesday"/>
    <s v="Morning"/>
    <s v="6+ months"/>
    <n v="61"/>
    <x v="13"/>
    <n v="0.1"/>
    <n v="0.85"/>
    <n v="4.2300000000000004"/>
    <n v="1"/>
    <n v="25.84"/>
    <s v="Low"/>
  </r>
  <r>
    <s v="Team C"/>
    <s v="Agent_7"/>
    <s v="Tuesday"/>
    <s v="Afternoon"/>
    <s v="0-3 months"/>
    <n v="55"/>
    <x v="231"/>
    <n v="0.21"/>
    <n v="0.87"/>
    <n v="4.25"/>
    <n v="0"/>
    <n v="23.43"/>
    <s v="Low"/>
  </r>
  <r>
    <s v="Team C"/>
    <s v="Agent_7"/>
    <s v="Tuesday"/>
    <s v="Evening"/>
    <s v="6+ months"/>
    <n v="69"/>
    <x v="27"/>
    <n v="0.14000000000000001"/>
    <n v="0.64"/>
    <n v="4.34"/>
    <n v="2"/>
    <n v="27.52"/>
    <s v="Low"/>
  </r>
  <r>
    <s v="Team C"/>
    <s v="Agent_7"/>
    <s v="Wednesday"/>
    <s v="Morning"/>
    <s v="6+ months"/>
    <n v="67"/>
    <x v="23"/>
    <n v="0.14000000000000001"/>
    <n v="0.86"/>
    <n v="3.58"/>
    <n v="0"/>
    <n v="23.61"/>
    <s v="Low"/>
  </r>
  <r>
    <s v="Team C"/>
    <s v="Agent_7"/>
    <s v="Wednesday"/>
    <s v="Afternoon"/>
    <s v="0-3 months"/>
    <n v="70"/>
    <x v="9"/>
    <n v="0.16"/>
    <n v="0.77"/>
    <n v="4.75"/>
    <n v="0"/>
    <n v="21.24"/>
    <s v="Low"/>
  </r>
  <r>
    <s v="Team C"/>
    <s v="Agent_7"/>
    <s v="Wednesday"/>
    <s v="Evening"/>
    <s v="0-3 months"/>
    <n v="50"/>
    <x v="166"/>
    <n v="0.28000000000000003"/>
    <n v="0.79"/>
    <n v="4.21"/>
    <n v="0"/>
    <n v="24.16"/>
    <s v="Low"/>
  </r>
  <r>
    <s v="Team C"/>
    <s v="Agent_7"/>
    <s v="Thursday"/>
    <s v="Morning"/>
    <s v="3-6 months"/>
    <n v="32"/>
    <x v="265"/>
    <n v="0.04"/>
    <n v="0.82"/>
    <n v="3.77"/>
    <n v="0"/>
    <n v="24.62"/>
    <s v="Low"/>
  </r>
  <r>
    <s v="Team C"/>
    <s v="Agent_7"/>
    <s v="Thursday"/>
    <s v="Afternoon"/>
    <s v="6+ months"/>
    <n v="77"/>
    <x v="266"/>
    <n v="7.0000000000000007E-2"/>
    <n v="0.85"/>
    <n v="3.64"/>
    <n v="1"/>
    <n v="26.02"/>
    <s v="Low"/>
  </r>
  <r>
    <s v="Team C"/>
    <s v="Agent_7"/>
    <s v="Thursday"/>
    <s v="Evening"/>
    <s v="3-6 months"/>
    <n v="55"/>
    <x v="81"/>
    <n v="0.09"/>
    <n v="0.65"/>
    <n v="4.0999999999999996"/>
    <n v="2"/>
    <n v="28.27"/>
    <s v="High"/>
  </r>
  <r>
    <s v="Team C"/>
    <s v="Agent_7"/>
    <s v="Friday"/>
    <s v="Morning"/>
    <s v="0-3 months"/>
    <n v="67"/>
    <x v="251"/>
    <n v="0.1"/>
    <n v="0.87"/>
    <n v="4.68"/>
    <n v="2"/>
    <n v="28.24"/>
    <s v="High"/>
  </r>
  <r>
    <s v="Team C"/>
    <s v="Agent_7"/>
    <s v="Friday"/>
    <s v="Afternoon"/>
    <s v="6+ months"/>
    <n v="45"/>
    <x v="267"/>
    <n v="0.15"/>
    <n v="0.86"/>
    <n v="3.71"/>
    <n v="0"/>
    <n v="24.06"/>
    <s v="Low"/>
  </r>
  <r>
    <s v="Team C"/>
    <s v="Agent_7"/>
    <s v="Friday"/>
    <s v="Evening"/>
    <s v="6+ months"/>
    <n v="76"/>
    <x v="227"/>
    <n v="0.12"/>
    <n v="0.84"/>
    <n v="4.49"/>
    <n v="2"/>
    <n v="27.64"/>
    <s v="Low"/>
  </r>
  <r>
    <s v="Team C"/>
    <s v="Agent_8"/>
    <s v="Monday"/>
    <s v="Morning"/>
    <s v="3-6 months"/>
    <n v="66"/>
    <x v="268"/>
    <n v="0.02"/>
    <n v="0.8"/>
    <n v="4.7"/>
    <n v="0"/>
    <n v="21.68"/>
    <s v="Low"/>
  </r>
  <r>
    <s v="Team C"/>
    <s v="Agent_8"/>
    <s v="Monday"/>
    <s v="Afternoon"/>
    <s v="3-6 months"/>
    <n v="53"/>
    <x v="269"/>
    <n v="0.09"/>
    <n v="0.87"/>
    <n v="3.83"/>
    <n v="0"/>
    <n v="23.26"/>
    <s v="Low"/>
  </r>
  <r>
    <s v="Team C"/>
    <s v="Agent_8"/>
    <s v="Monday"/>
    <s v="Evening"/>
    <s v="3-6 months"/>
    <n v="73"/>
    <x v="83"/>
    <n v="0.11"/>
    <n v="0.63"/>
    <n v="3.88"/>
    <n v="0"/>
    <n v="24.7"/>
    <s v="Low"/>
  </r>
  <r>
    <s v="Team C"/>
    <s v="Agent_8"/>
    <s v="Tuesday"/>
    <s v="Morning"/>
    <s v="6+ months"/>
    <n v="30"/>
    <x v="270"/>
    <n v="0.12"/>
    <n v="0.89"/>
    <n v="4.74"/>
    <n v="0"/>
    <n v="21.99"/>
    <s v="Low"/>
  </r>
  <r>
    <s v="Team C"/>
    <s v="Agent_8"/>
    <s v="Tuesday"/>
    <s v="Afternoon"/>
    <s v="3-6 months"/>
    <n v="47"/>
    <x v="71"/>
    <n v="0.15"/>
    <n v="0.81"/>
    <n v="4.25"/>
    <n v="0"/>
    <n v="21.6"/>
    <s v="Low"/>
  </r>
  <r>
    <s v="Team C"/>
    <s v="Agent_8"/>
    <s v="Tuesday"/>
    <s v="Evening"/>
    <s v="6+ months"/>
    <n v="30"/>
    <x v="266"/>
    <n v="0.05"/>
    <n v="0.61"/>
    <n v="3.55"/>
    <n v="0"/>
    <n v="24.02"/>
    <s v="Low"/>
  </r>
  <r>
    <s v="Team C"/>
    <s v="Agent_8"/>
    <s v="Wednesday"/>
    <s v="Morning"/>
    <s v="6+ months"/>
    <n v="74"/>
    <x v="271"/>
    <n v="0.05"/>
    <n v="0.81"/>
    <n v="4.43"/>
    <n v="0"/>
    <n v="22.58"/>
    <s v="Low"/>
  </r>
  <r>
    <s v="Team C"/>
    <s v="Agent_8"/>
    <s v="Wednesday"/>
    <s v="Afternoon"/>
    <s v="3-6 months"/>
    <n v="41"/>
    <x v="272"/>
    <n v="7.0000000000000007E-2"/>
    <n v="0.88"/>
    <n v="4.7300000000000004"/>
    <n v="2"/>
    <n v="26.78"/>
    <s v="Low"/>
  </r>
  <r>
    <s v="Team C"/>
    <s v="Agent_8"/>
    <s v="Wednesday"/>
    <s v="Evening"/>
    <s v="3-6 months"/>
    <n v="33"/>
    <x v="273"/>
    <n v="0.13"/>
    <n v="0.82"/>
    <n v="4.21"/>
    <n v="0"/>
    <n v="25.44"/>
    <s v="Low"/>
  </r>
  <r>
    <s v="Team C"/>
    <s v="Agent_8"/>
    <s v="Thursday"/>
    <s v="Morning"/>
    <s v="0-3 months"/>
    <n v="77"/>
    <x v="198"/>
    <n v="0.1"/>
    <n v="0.76"/>
    <n v="3.59"/>
    <n v="2"/>
    <n v="29.34"/>
    <s v="High"/>
  </r>
  <r>
    <s v="Team C"/>
    <s v="Agent_8"/>
    <s v="Thursday"/>
    <s v="Afternoon"/>
    <s v="3-6 months"/>
    <n v="32"/>
    <x v="274"/>
    <n v="0.03"/>
    <n v="0.87"/>
    <n v="3.56"/>
    <n v="1"/>
    <n v="25.37"/>
    <s v="Low"/>
  </r>
  <r>
    <s v="Team C"/>
    <s v="Agent_8"/>
    <s v="Thursday"/>
    <s v="Evening"/>
    <s v="6+ months"/>
    <n v="53"/>
    <x v="271"/>
    <n v="0.13"/>
    <n v="0.73"/>
    <n v="3.87"/>
    <n v="0"/>
    <n v="22.58"/>
    <s v="Low"/>
  </r>
  <r>
    <s v="Team C"/>
    <s v="Agent_8"/>
    <s v="Friday"/>
    <s v="Morning"/>
    <s v="0-3 months"/>
    <n v="70"/>
    <x v="4"/>
    <n v="0.05"/>
    <n v="0.81"/>
    <n v="4.18"/>
    <n v="0"/>
    <n v="24.63"/>
    <s v="Low"/>
  </r>
  <r>
    <s v="Team C"/>
    <s v="Agent_8"/>
    <s v="Friday"/>
    <s v="Afternoon"/>
    <s v="6+ months"/>
    <n v="36"/>
    <x v="207"/>
    <n v="0.03"/>
    <n v="0.78"/>
    <n v="3.9"/>
    <n v="1"/>
    <n v="27.48"/>
    <s v="Low"/>
  </r>
  <r>
    <s v="Team C"/>
    <s v="Agent_8"/>
    <s v="Friday"/>
    <s v="Evening"/>
    <s v="3-6 months"/>
    <n v="70"/>
    <x v="260"/>
    <n v="0.13"/>
    <n v="0.71"/>
    <n v="3.89"/>
    <n v="0"/>
    <n v="23.76"/>
    <s v="Low"/>
  </r>
  <r>
    <s v="Team C"/>
    <s v="Agent_9"/>
    <s v="Monday"/>
    <s v="Morning"/>
    <s v="6+ months"/>
    <n v="56"/>
    <x v="1"/>
    <n v="0.06"/>
    <n v="0.9"/>
    <n v="4.03"/>
    <n v="0"/>
    <n v="23.07"/>
    <s v="Low"/>
  </r>
  <r>
    <s v="Team C"/>
    <s v="Agent_9"/>
    <s v="Monday"/>
    <s v="Afternoon"/>
    <s v="6+ months"/>
    <n v="50"/>
    <x v="231"/>
    <n v="0.04"/>
    <n v="0.81"/>
    <n v="4.04"/>
    <n v="1"/>
    <n v="25.43"/>
    <s v="Low"/>
  </r>
  <r>
    <s v="Team C"/>
    <s v="Agent_9"/>
    <s v="Monday"/>
    <s v="Evening"/>
    <s v="0-3 months"/>
    <n v="63"/>
    <x v="4"/>
    <n v="0.28999999999999998"/>
    <n v="0.61"/>
    <n v="3.84"/>
    <n v="1"/>
    <n v="26.63"/>
    <s v="Low"/>
  </r>
  <r>
    <s v="Team C"/>
    <s v="Agent_9"/>
    <s v="Tuesday"/>
    <s v="Morning"/>
    <s v="0-3 months"/>
    <n v="54"/>
    <x v="179"/>
    <n v="0.08"/>
    <n v="0.83"/>
    <n v="4.51"/>
    <n v="1"/>
    <n v="28.1"/>
    <s v="High"/>
  </r>
  <r>
    <s v="Team C"/>
    <s v="Agent_9"/>
    <s v="Tuesday"/>
    <s v="Afternoon"/>
    <s v="0-3 months"/>
    <n v="46"/>
    <x v="275"/>
    <n v="0.17"/>
    <n v="0.89"/>
    <n v="4.4000000000000004"/>
    <n v="1"/>
    <n v="27.62"/>
    <s v="Low"/>
  </r>
  <r>
    <s v="Team C"/>
    <s v="Agent_9"/>
    <s v="Tuesday"/>
    <s v="Evening"/>
    <s v="6+ months"/>
    <n v="46"/>
    <x v="191"/>
    <n v="0.02"/>
    <n v="0.61"/>
    <n v="3.68"/>
    <n v="0"/>
    <n v="25.5"/>
    <s v="Low"/>
  </r>
  <r>
    <s v="Team C"/>
    <s v="Agent_9"/>
    <s v="Wednesday"/>
    <s v="Morning"/>
    <s v="3-6 months"/>
    <n v="32"/>
    <x v="151"/>
    <n v="0.11"/>
    <n v="0.82"/>
    <n v="4.21"/>
    <n v="0"/>
    <n v="24.46"/>
    <s v="Low"/>
  </r>
  <r>
    <s v="Team C"/>
    <s v="Agent_9"/>
    <s v="Wednesday"/>
    <s v="Afternoon"/>
    <s v="3-6 months"/>
    <n v="65"/>
    <x v="125"/>
    <n v="0.12"/>
    <n v="0.86"/>
    <n v="4"/>
    <n v="0"/>
    <n v="23.32"/>
    <s v="Low"/>
  </r>
  <r>
    <s v="Team C"/>
    <s v="Agent_9"/>
    <s v="Wednesday"/>
    <s v="Evening"/>
    <s v="6+ months"/>
    <n v="69"/>
    <x v="53"/>
    <n v="0.13"/>
    <n v="0.62"/>
    <n v="4.2300000000000004"/>
    <n v="0"/>
    <n v="24.74"/>
    <s v="Low"/>
  </r>
  <r>
    <s v="Team C"/>
    <s v="Agent_9"/>
    <s v="Thursday"/>
    <s v="Morning"/>
    <s v="6+ months"/>
    <n v="62"/>
    <x v="276"/>
    <n v="0.15"/>
    <n v="0.76"/>
    <n v="4.16"/>
    <n v="1"/>
    <n v="27.88"/>
    <s v="High"/>
  </r>
  <r>
    <s v="Team C"/>
    <s v="Agent_9"/>
    <s v="Thursday"/>
    <s v="Afternoon"/>
    <s v="6+ months"/>
    <n v="42"/>
    <x v="239"/>
    <n v="0.11"/>
    <n v="0.84"/>
    <n v="3.91"/>
    <n v="2"/>
    <n v="28.28"/>
    <s v="High"/>
  </r>
  <r>
    <s v="Team C"/>
    <s v="Agent_9"/>
    <s v="Thursday"/>
    <s v="Evening"/>
    <s v="3-6 months"/>
    <n v="37"/>
    <x v="123"/>
    <n v="0.05"/>
    <n v="0.76"/>
    <n v="4.24"/>
    <n v="2"/>
    <n v="28.34"/>
    <s v="High"/>
  </r>
  <r>
    <s v="Team C"/>
    <s v="Agent_9"/>
    <s v="Friday"/>
    <s v="Morning"/>
    <s v="6+ months"/>
    <n v="47"/>
    <x v="124"/>
    <n v="0.04"/>
    <n v="0.75"/>
    <n v="4.01"/>
    <n v="0"/>
    <n v="23.01"/>
    <s v="Low"/>
  </r>
  <r>
    <s v="Team C"/>
    <s v="Agent_9"/>
    <s v="Friday"/>
    <s v="Afternoon"/>
    <s v="3-6 months"/>
    <n v="35"/>
    <x v="277"/>
    <n v="0.06"/>
    <n v="0.86"/>
    <n v="4.03"/>
    <n v="0"/>
    <n v="23.25"/>
    <s v="Low"/>
  </r>
  <r>
    <s v="Team C"/>
    <s v="Agent_9"/>
    <s v="Friday"/>
    <s v="Evening"/>
    <s v="6+ months"/>
    <n v="79"/>
    <x v="57"/>
    <n v="0.06"/>
    <n v="0.61"/>
    <n v="3.99"/>
    <n v="2"/>
    <n v="30.72"/>
    <s v="High"/>
  </r>
  <r>
    <s v="Team C"/>
    <s v="Agent_10"/>
    <s v="Monday"/>
    <s v="Morning"/>
    <s v="3-6 months"/>
    <n v="36"/>
    <x v="124"/>
    <n v="0.1"/>
    <n v="0.78"/>
    <n v="4.04"/>
    <n v="1"/>
    <n v="25.01"/>
    <s v="Low"/>
  </r>
  <r>
    <s v="Team C"/>
    <s v="Agent_10"/>
    <s v="Monday"/>
    <s v="Afternoon"/>
    <s v="0-3 months"/>
    <n v="58"/>
    <x v="4"/>
    <n v="0.28000000000000003"/>
    <n v="0.75"/>
    <n v="4.09"/>
    <n v="3"/>
    <n v="30.63"/>
    <s v="High"/>
  </r>
  <r>
    <s v="Team C"/>
    <s v="Agent_10"/>
    <s v="Monday"/>
    <s v="Evening"/>
    <s v="0-3 months"/>
    <n v="34"/>
    <x v="162"/>
    <n v="0.28999999999999998"/>
    <n v="0.74"/>
    <n v="3.75"/>
    <n v="0"/>
    <n v="23.74"/>
    <s v="Low"/>
  </r>
  <r>
    <s v="Team C"/>
    <s v="Agent_10"/>
    <s v="Tuesday"/>
    <s v="Morning"/>
    <s v="0-3 months"/>
    <n v="78"/>
    <x v="278"/>
    <n v="0.1"/>
    <n v="0.82"/>
    <n v="3.85"/>
    <n v="0"/>
    <n v="21.75"/>
    <s v="Low"/>
  </r>
  <r>
    <s v="Team C"/>
    <s v="Agent_10"/>
    <s v="Tuesday"/>
    <s v="Afternoon"/>
    <s v="3-6 months"/>
    <n v="51"/>
    <x v="236"/>
    <n v="0.04"/>
    <n v="0.84"/>
    <n v="3.72"/>
    <n v="2"/>
    <n v="27.02"/>
    <s v="Low"/>
  </r>
  <r>
    <s v="Team C"/>
    <s v="Agent_10"/>
    <s v="Tuesday"/>
    <s v="Evening"/>
    <s v="0-3 months"/>
    <n v="70"/>
    <x v="279"/>
    <n v="0.21"/>
    <n v="0.76"/>
    <n v="3.85"/>
    <n v="0"/>
    <n v="24.3"/>
    <s v="Low"/>
  </r>
  <r>
    <s v="Team C"/>
    <s v="Agent_10"/>
    <s v="Wednesday"/>
    <s v="Morning"/>
    <s v="6+ months"/>
    <n v="44"/>
    <x v="272"/>
    <n v="0.09"/>
    <n v="0.82"/>
    <n v="4.37"/>
    <n v="0"/>
    <n v="22.78"/>
    <s v="Low"/>
  </r>
  <r>
    <s v="Team C"/>
    <s v="Agent_10"/>
    <s v="Wednesday"/>
    <s v="Afternoon"/>
    <s v="3-6 months"/>
    <n v="31"/>
    <x v="16"/>
    <n v="0.1"/>
    <n v="0.86"/>
    <n v="4.38"/>
    <n v="0"/>
    <n v="23.68"/>
    <s v="Low"/>
  </r>
  <r>
    <s v="Team C"/>
    <s v="Agent_10"/>
    <s v="Wednesday"/>
    <s v="Evening"/>
    <s v="0-3 months"/>
    <n v="33"/>
    <x v="280"/>
    <n v="0.28000000000000003"/>
    <n v="0.74"/>
    <n v="4.72"/>
    <n v="0"/>
    <n v="24.42"/>
    <s v="Low"/>
  </r>
  <r>
    <s v="Team C"/>
    <s v="Agent_10"/>
    <s v="Thursday"/>
    <s v="Morning"/>
    <s v="6+ months"/>
    <n v="75"/>
    <x v="244"/>
    <n v="0.15"/>
    <n v="0.77"/>
    <n v="3.51"/>
    <n v="0"/>
    <n v="24.84"/>
    <s v="Low"/>
  </r>
  <r>
    <s v="Team C"/>
    <s v="Agent_10"/>
    <s v="Thursday"/>
    <s v="Afternoon"/>
    <s v="0-3 months"/>
    <n v="50"/>
    <x v="254"/>
    <n v="0.28000000000000003"/>
    <n v="0.82"/>
    <n v="3.84"/>
    <n v="0"/>
    <n v="22.47"/>
    <s v="Low"/>
  </r>
  <r>
    <s v="Team C"/>
    <s v="Agent_10"/>
    <s v="Thursday"/>
    <s v="Evening"/>
    <s v="6+ months"/>
    <n v="55"/>
    <x v="181"/>
    <n v="0.11"/>
    <n v="0.65"/>
    <n v="4.3499999999999996"/>
    <n v="2"/>
    <n v="30.96"/>
    <s v="High"/>
  </r>
  <r>
    <s v="Team C"/>
    <s v="Agent_10"/>
    <s v="Friday"/>
    <s v="Morning"/>
    <s v="0-3 months"/>
    <n v="76"/>
    <x v="0"/>
    <n v="0.06"/>
    <n v="0.8"/>
    <n v="3.52"/>
    <n v="0"/>
    <n v="24.81"/>
    <s v="Low"/>
  </r>
  <r>
    <s v="Team C"/>
    <s v="Agent_10"/>
    <s v="Friday"/>
    <s v="Afternoon"/>
    <s v="6+ months"/>
    <n v="40"/>
    <x v="218"/>
    <n v="0.1"/>
    <n v="0.85"/>
    <n v="3.61"/>
    <n v="3"/>
    <n v="32.56"/>
    <s v="High"/>
  </r>
  <r>
    <s v="Team C"/>
    <s v="Agent_10"/>
    <s v="Friday"/>
    <s v="Evening"/>
    <s v="6+ months"/>
    <n v="67"/>
    <x v="189"/>
    <n v="7.0000000000000007E-2"/>
    <n v="0.72"/>
    <n v="3.87"/>
    <n v="1"/>
    <n v="25.55"/>
    <s v="Low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x v="0"/>
    <s v="Agent_1"/>
    <s v="Monday"/>
    <s v="Morning"/>
    <x v="0"/>
    <n v="58"/>
    <n v="6.54"/>
    <x v="0"/>
    <n v="0.82"/>
    <n v="3.63"/>
    <x v="0"/>
    <n v="24.81"/>
    <s v="Low"/>
    <m/>
    <m/>
    <m/>
    <m/>
    <m/>
    <m/>
    <m/>
    <m/>
    <m/>
    <m/>
    <m/>
    <m/>
    <m/>
  </r>
  <r>
    <x v="0"/>
    <s v="Agent_1"/>
    <s v="Monday"/>
    <s v="Afternoon"/>
    <x v="0"/>
    <n v="69"/>
    <n v="5.38"/>
    <x v="1"/>
    <n v="0.75"/>
    <n v="4.76"/>
    <x v="1"/>
    <n v="27.07"/>
    <s v="Low"/>
    <m/>
    <s v="Q1"/>
    <n v="24.262500000000003"/>
    <m/>
    <m/>
    <m/>
    <m/>
    <m/>
    <m/>
    <m/>
    <m/>
    <m/>
    <m/>
  </r>
  <r>
    <x v="0"/>
    <s v="Agent_1"/>
    <s v="Monday"/>
    <s v="Evening"/>
    <x v="1"/>
    <n v="50"/>
    <n v="7.46"/>
    <x v="2"/>
    <n v="0.61"/>
    <n v="4.18"/>
    <x v="0"/>
    <n v="26.19"/>
    <s v="Low"/>
    <m/>
    <s v="Q2"/>
    <n v="25.8"/>
    <m/>
    <m/>
    <m/>
    <m/>
    <m/>
    <m/>
    <m/>
    <m/>
    <m/>
    <m/>
  </r>
  <r>
    <x v="0"/>
    <s v="Agent_1"/>
    <s v="Tuesday"/>
    <s v="Morning"/>
    <x v="1"/>
    <n v="45"/>
    <n v="7.54"/>
    <x v="1"/>
    <n v="0.76"/>
    <n v="4.3"/>
    <x v="0"/>
    <n v="26.31"/>
    <s v="Low"/>
    <m/>
    <s v="Q3"/>
    <n v="27.695"/>
    <m/>
    <m/>
    <m/>
    <m/>
    <m/>
    <m/>
    <m/>
    <m/>
    <m/>
    <m/>
  </r>
  <r>
    <x v="0"/>
    <s v="Agent_1"/>
    <s v="Tuesday"/>
    <s v="Afternoon"/>
    <x v="2"/>
    <n v="32"/>
    <n v="6.42"/>
    <x v="3"/>
    <n v="0.75"/>
    <n v="4.72"/>
    <x v="0"/>
    <n v="24.63"/>
    <s v="Low"/>
    <m/>
    <m/>
    <m/>
    <m/>
    <m/>
    <m/>
    <m/>
    <m/>
    <m/>
    <m/>
    <m/>
    <m/>
    <m/>
  </r>
  <r>
    <x v="0"/>
    <s v="Agent_1"/>
    <s v="Tuesday"/>
    <s v="Evening"/>
    <x v="0"/>
    <n v="55"/>
    <n v="6.83"/>
    <x v="4"/>
    <n v="0.77"/>
    <n v="4.07"/>
    <x v="0"/>
    <n v="25.24"/>
    <s v="Low"/>
    <m/>
    <s v="Count High For 0-3"/>
    <n v="112"/>
    <s v=" Experience Does not affect the cost"/>
    <m/>
    <m/>
    <m/>
    <m/>
    <m/>
    <m/>
    <m/>
    <m/>
    <m/>
  </r>
  <r>
    <x v="0"/>
    <s v="Agent_1"/>
    <s v="Wednesday"/>
    <s v="Morning"/>
    <x v="0"/>
    <n v="76"/>
    <n v="5.61"/>
    <x v="5"/>
    <n v="0.86"/>
    <n v="4.05"/>
    <x v="0"/>
    <n v="23.42"/>
    <s v="Low"/>
    <m/>
    <s v="Count High for 3-6"/>
    <n v="111"/>
    <m/>
    <m/>
    <m/>
    <m/>
    <m/>
    <m/>
    <m/>
    <m/>
    <m/>
    <m/>
  </r>
  <r>
    <x v="0"/>
    <s v="Agent_1"/>
    <s v="Wednesday"/>
    <s v="Afternoon"/>
    <x v="0"/>
    <n v="58"/>
    <n v="4.84"/>
    <x v="6"/>
    <n v="0.87"/>
    <n v="4.72"/>
    <x v="1"/>
    <n v="26.26"/>
    <s v="Low"/>
    <m/>
    <s v="Count High For 6+"/>
    <n v="113"/>
    <m/>
    <m/>
    <m/>
    <m/>
    <m/>
    <m/>
    <m/>
    <m/>
    <m/>
    <m/>
  </r>
  <r>
    <x v="0"/>
    <s v="Agent_1"/>
    <s v="Wednesday"/>
    <s v="Evening"/>
    <x v="0"/>
    <n v="77"/>
    <n v="6.75"/>
    <x v="7"/>
    <n v="0.84"/>
    <n v="4.5999999999999996"/>
    <x v="2"/>
    <n v="27.12"/>
    <s v="Low"/>
    <m/>
    <m/>
    <m/>
    <m/>
    <m/>
    <m/>
    <m/>
    <m/>
    <m/>
    <m/>
    <m/>
    <m/>
    <m/>
  </r>
  <r>
    <x v="0"/>
    <s v="Agent_1"/>
    <s v="Thursday"/>
    <s v="Morning"/>
    <x v="0"/>
    <n v="53"/>
    <n v="4.16"/>
    <x v="8"/>
    <n v="0.79"/>
    <n v="4.21"/>
    <x v="0"/>
    <n v="21.24"/>
    <s v="Low"/>
    <m/>
    <m/>
    <m/>
    <m/>
    <m/>
    <m/>
    <m/>
    <m/>
    <m/>
    <m/>
    <m/>
    <m/>
    <m/>
  </r>
  <r>
    <x v="0"/>
    <s v="Agent_1"/>
    <s v="Thursday"/>
    <s v="Afternoon"/>
    <x v="2"/>
    <n v="30"/>
    <n v="5.96"/>
    <x v="8"/>
    <n v="0.79"/>
    <n v="3.52"/>
    <x v="0"/>
    <n v="23.94"/>
    <s v="Low"/>
    <m/>
    <m/>
    <m/>
    <m/>
    <m/>
    <m/>
    <m/>
    <m/>
    <m/>
    <m/>
    <m/>
    <m/>
    <m/>
  </r>
  <r>
    <x v="0"/>
    <s v="Agent_1"/>
    <s v="Thursday"/>
    <s v="Evening"/>
    <x v="2"/>
    <n v="64"/>
    <n v="5.72"/>
    <x v="9"/>
    <n v="0.62"/>
    <n v="3.97"/>
    <x v="0"/>
    <n v="23.58"/>
    <s v="Low"/>
    <m/>
    <m/>
    <m/>
    <m/>
    <m/>
    <m/>
    <m/>
    <m/>
    <m/>
    <m/>
    <m/>
    <m/>
    <m/>
  </r>
  <r>
    <x v="0"/>
    <s v="Agent_1"/>
    <s v="Friday"/>
    <s v="Morning"/>
    <x v="2"/>
    <n v="37"/>
    <n v="5.0999999999999996"/>
    <x v="8"/>
    <n v="0.85"/>
    <n v="4.37"/>
    <x v="0"/>
    <n v="22.65"/>
    <s v="Low"/>
    <m/>
    <s v="Count High for Morning"/>
    <n v="112"/>
    <m/>
    <m/>
    <m/>
    <m/>
    <m/>
    <m/>
    <m/>
    <m/>
    <m/>
    <m/>
  </r>
  <r>
    <x v="0"/>
    <s v="Agent_1"/>
    <s v="Friday"/>
    <s v="Afternoon"/>
    <x v="1"/>
    <n v="64"/>
    <n v="5.89"/>
    <x v="10"/>
    <n v="0.77"/>
    <n v="4.43"/>
    <x v="2"/>
    <n v="25.84"/>
    <s v="Low"/>
    <m/>
    <s v="Count High for Afternoon"/>
    <n v="113"/>
    <s v="Shift Does Not Affect the cost"/>
    <m/>
    <m/>
    <m/>
    <m/>
    <m/>
    <m/>
    <m/>
    <m/>
    <m/>
  </r>
  <r>
    <x v="0"/>
    <s v="Agent_1"/>
    <s v="Friday"/>
    <s v="Evening"/>
    <x v="0"/>
    <n v="43"/>
    <n v="9.3699999999999992"/>
    <x v="3"/>
    <n v="0.61"/>
    <n v="3.64"/>
    <x v="0"/>
    <n v="29.06"/>
    <s v="High"/>
    <m/>
    <s v="Count High for Evening"/>
    <n v="112"/>
    <m/>
    <m/>
    <m/>
    <m/>
    <m/>
    <m/>
    <m/>
    <m/>
    <m/>
    <m/>
  </r>
  <r>
    <x v="0"/>
    <s v="Agent_2"/>
    <s v="Monday"/>
    <s v="Morning"/>
    <x v="0"/>
    <n v="61"/>
    <n v="5.08"/>
    <x v="1"/>
    <n v="0.77"/>
    <n v="4.29"/>
    <x v="0"/>
    <n v="22.62"/>
    <s v="Low"/>
    <m/>
    <m/>
    <m/>
    <m/>
    <m/>
    <m/>
    <m/>
    <m/>
    <m/>
    <m/>
    <m/>
    <m/>
    <m/>
  </r>
  <r>
    <x v="0"/>
    <s v="Agent_2"/>
    <s v="Monday"/>
    <s v="Afternoon"/>
    <x v="1"/>
    <n v="42"/>
    <n v="5.79"/>
    <x v="7"/>
    <n v="0.89"/>
    <n v="4.55"/>
    <x v="2"/>
    <n v="25.68"/>
    <s v="Low"/>
    <m/>
    <s v="Count High for Team A"/>
    <n v="22"/>
    <m/>
    <m/>
    <m/>
    <m/>
    <m/>
    <m/>
    <m/>
    <m/>
    <m/>
    <m/>
  </r>
  <r>
    <x v="0"/>
    <s v="Agent_2"/>
    <s v="Monday"/>
    <s v="Evening"/>
    <x v="2"/>
    <n v="57"/>
    <n v="5.57"/>
    <x v="2"/>
    <n v="0.7"/>
    <n v="4.6500000000000004"/>
    <x v="0"/>
    <n v="23.36"/>
    <s v="Low"/>
    <m/>
    <s v="Count High For Team B"/>
    <n v="64"/>
    <s v=" Team B does affect the cost"/>
    <m/>
    <m/>
    <m/>
    <m/>
    <m/>
    <m/>
    <m/>
    <m/>
    <m/>
  </r>
  <r>
    <x v="0"/>
    <s v="Agent_2"/>
    <s v="Tuesday"/>
    <s v="Morning"/>
    <x v="1"/>
    <n v="54"/>
    <n v="5.3"/>
    <x v="1"/>
    <n v="0.81"/>
    <n v="4.5599999999999996"/>
    <x v="1"/>
    <n v="26.95"/>
    <s v="Low"/>
    <m/>
    <s v="Count High For Team C"/>
    <n v="27"/>
    <m/>
    <m/>
    <m/>
    <m/>
    <m/>
    <m/>
    <m/>
    <m/>
    <m/>
    <m/>
  </r>
  <r>
    <x v="0"/>
    <s v="Agent_2"/>
    <s v="Tuesday"/>
    <s v="Afternoon"/>
    <x v="1"/>
    <n v="37"/>
    <n v="5.67"/>
    <x v="11"/>
    <n v="0.82"/>
    <n v="4.4000000000000004"/>
    <x v="0"/>
    <n v="23.5"/>
    <s v="Low"/>
    <m/>
    <m/>
    <m/>
    <m/>
    <m/>
    <m/>
    <m/>
    <m/>
    <m/>
    <m/>
    <m/>
    <m/>
    <m/>
  </r>
  <r>
    <x v="0"/>
    <s v="Agent_2"/>
    <s v="Tuesday"/>
    <s v="Evening"/>
    <x v="1"/>
    <n v="61"/>
    <n v="7.89"/>
    <x v="12"/>
    <n v="0.84"/>
    <n v="4.75"/>
    <x v="0"/>
    <n v="26.84"/>
    <s v="Low"/>
    <m/>
    <m/>
    <m/>
    <m/>
    <m/>
    <m/>
    <m/>
    <m/>
    <m/>
    <m/>
    <m/>
    <m/>
    <m/>
  </r>
  <r>
    <x v="0"/>
    <s v="Agent_2"/>
    <s v="Wednesday"/>
    <s v="Morning"/>
    <x v="0"/>
    <n v="78"/>
    <n v="6.17"/>
    <x v="5"/>
    <n v="0.9"/>
    <n v="3.85"/>
    <x v="3"/>
    <n v="30.26"/>
    <s v="High"/>
    <m/>
    <m/>
    <m/>
    <m/>
    <m/>
    <m/>
    <m/>
    <m/>
    <m/>
    <m/>
    <m/>
    <m/>
    <m/>
  </r>
  <r>
    <x v="0"/>
    <s v="Agent_2"/>
    <s v="Wednesday"/>
    <s v="Afternoon"/>
    <x v="0"/>
    <n v="52"/>
    <n v="6.48"/>
    <x v="2"/>
    <n v="0.77"/>
    <n v="4.1399999999999997"/>
    <x v="3"/>
    <n v="30.72"/>
    <s v="High"/>
    <m/>
    <m/>
    <m/>
    <m/>
    <m/>
    <m/>
    <m/>
    <m/>
    <m/>
    <m/>
    <m/>
    <m/>
    <m/>
  </r>
  <r>
    <x v="0"/>
    <s v="Agent_2"/>
    <s v="Wednesday"/>
    <s v="Evening"/>
    <x v="1"/>
    <n v="33"/>
    <n v="5.74"/>
    <x v="8"/>
    <n v="0.69"/>
    <n v="3.81"/>
    <x v="1"/>
    <n v="27.61"/>
    <s v="Low"/>
    <m/>
    <m/>
    <m/>
    <m/>
    <m/>
    <m/>
    <m/>
    <m/>
    <m/>
    <m/>
    <m/>
    <m/>
    <m/>
  </r>
  <r>
    <x v="0"/>
    <s v="Agent_2"/>
    <s v="Thursday"/>
    <s v="Morning"/>
    <x v="0"/>
    <n v="63"/>
    <n v="6.59"/>
    <x v="4"/>
    <n v="0.88"/>
    <n v="3.92"/>
    <x v="0"/>
    <n v="24.88"/>
    <s v="Low"/>
    <m/>
    <m/>
    <m/>
    <m/>
    <m/>
    <m/>
    <m/>
    <m/>
    <m/>
    <m/>
    <m/>
    <m/>
    <m/>
  </r>
  <r>
    <x v="0"/>
    <s v="Agent_2"/>
    <s v="Thursday"/>
    <s v="Afternoon"/>
    <x v="1"/>
    <n v="49"/>
    <n v="8.19"/>
    <x v="13"/>
    <n v="0.78"/>
    <n v="4.42"/>
    <x v="1"/>
    <n v="31.28"/>
    <s v="High"/>
    <m/>
    <m/>
    <m/>
    <m/>
    <m/>
    <m/>
    <m/>
    <m/>
    <m/>
    <m/>
    <m/>
    <m/>
    <m/>
  </r>
  <r>
    <x v="0"/>
    <s v="Agent_2"/>
    <s v="Thursday"/>
    <s v="Evening"/>
    <x v="0"/>
    <n v="36"/>
    <n v="6.54"/>
    <x v="8"/>
    <n v="0.83"/>
    <n v="3.68"/>
    <x v="0"/>
    <n v="24.81"/>
    <s v="Low"/>
    <m/>
    <m/>
    <m/>
    <m/>
    <m/>
    <m/>
    <m/>
    <m/>
    <m/>
    <m/>
    <m/>
    <m/>
    <m/>
  </r>
  <r>
    <x v="0"/>
    <s v="Agent_2"/>
    <s v="Friday"/>
    <s v="Morning"/>
    <x v="1"/>
    <n v="52"/>
    <n v="5.09"/>
    <x v="14"/>
    <n v="0.85"/>
    <n v="3.8"/>
    <x v="0"/>
    <n v="22.64"/>
    <s v="Low"/>
    <m/>
    <m/>
    <m/>
    <m/>
    <m/>
    <m/>
    <m/>
    <m/>
    <m/>
    <m/>
    <m/>
    <m/>
    <m/>
  </r>
  <r>
    <x v="0"/>
    <s v="Agent_2"/>
    <s v="Friday"/>
    <s v="Afternoon"/>
    <x v="2"/>
    <n v="78"/>
    <n v="5.68"/>
    <x v="12"/>
    <n v="0.89"/>
    <n v="4.32"/>
    <x v="0"/>
    <n v="23.52"/>
    <s v="Low"/>
    <m/>
    <m/>
    <m/>
    <m/>
    <m/>
    <m/>
    <m/>
    <m/>
    <m/>
    <m/>
    <m/>
    <m/>
    <m/>
  </r>
  <r>
    <x v="0"/>
    <s v="Agent_2"/>
    <s v="Friday"/>
    <s v="Evening"/>
    <x v="0"/>
    <n v="77"/>
    <n v="5.79"/>
    <x v="13"/>
    <n v="0.81"/>
    <n v="4.03"/>
    <x v="1"/>
    <n v="27.68"/>
    <s v="Low"/>
    <m/>
    <m/>
    <m/>
    <m/>
    <m/>
    <m/>
    <m/>
    <m/>
    <m/>
    <m/>
    <m/>
    <m/>
    <m/>
  </r>
  <r>
    <x v="0"/>
    <s v="Agent_3"/>
    <s v="Monday"/>
    <s v="Morning"/>
    <x v="2"/>
    <n v="78"/>
    <n v="6.29"/>
    <x v="15"/>
    <n v="0.77"/>
    <n v="4.21"/>
    <x v="2"/>
    <n v="26.44"/>
    <s v="Low"/>
    <m/>
    <m/>
    <m/>
    <m/>
    <m/>
    <m/>
    <m/>
    <m/>
    <m/>
    <m/>
    <m/>
    <m/>
    <m/>
  </r>
  <r>
    <x v="0"/>
    <s v="Agent_3"/>
    <s v="Monday"/>
    <s v="Afternoon"/>
    <x v="0"/>
    <n v="70"/>
    <n v="5.29"/>
    <x v="5"/>
    <n v="0.75"/>
    <n v="4.1399999999999997"/>
    <x v="0"/>
    <n v="22.94"/>
    <s v="Low"/>
    <m/>
    <m/>
    <m/>
    <m/>
    <m/>
    <m/>
    <m/>
    <m/>
    <m/>
    <m/>
    <m/>
    <m/>
    <m/>
  </r>
  <r>
    <x v="0"/>
    <s v="Agent_3"/>
    <s v="Monday"/>
    <s v="Evening"/>
    <x v="0"/>
    <n v="37"/>
    <n v="6.42"/>
    <x v="7"/>
    <n v="0.62"/>
    <n v="3.98"/>
    <x v="0"/>
    <n v="24.63"/>
    <s v="Low"/>
    <m/>
    <m/>
    <m/>
    <m/>
    <m/>
    <m/>
    <m/>
    <m/>
    <m/>
    <m/>
    <m/>
    <m/>
    <m/>
  </r>
  <r>
    <x v="0"/>
    <s v="Agent_3"/>
    <s v="Tuesday"/>
    <s v="Morning"/>
    <x v="1"/>
    <n v="67"/>
    <n v="6.94"/>
    <x v="16"/>
    <n v="0.82"/>
    <n v="4.68"/>
    <x v="0"/>
    <n v="25.41"/>
    <s v="Low"/>
    <m/>
    <m/>
    <m/>
    <m/>
    <m/>
    <m/>
    <m/>
    <m/>
    <m/>
    <m/>
    <m/>
    <m/>
    <m/>
  </r>
  <r>
    <x v="0"/>
    <s v="Agent_3"/>
    <s v="Tuesday"/>
    <s v="Afternoon"/>
    <x v="0"/>
    <n v="62"/>
    <n v="5.74"/>
    <x v="2"/>
    <n v="0.86"/>
    <n v="3.87"/>
    <x v="0"/>
    <n v="23.61"/>
    <s v="Low"/>
    <m/>
    <m/>
    <m/>
    <m/>
    <m/>
    <m/>
    <m/>
    <m/>
    <m/>
    <m/>
    <m/>
    <m/>
    <m/>
  </r>
  <r>
    <x v="0"/>
    <s v="Agent_3"/>
    <s v="Tuesday"/>
    <s v="Evening"/>
    <x v="0"/>
    <n v="46"/>
    <n v="8.7200000000000006"/>
    <x v="6"/>
    <n v="0.72"/>
    <n v="3.86"/>
    <x v="1"/>
    <n v="32.08"/>
    <s v="High"/>
    <m/>
    <m/>
    <m/>
    <m/>
    <m/>
    <m/>
    <m/>
    <m/>
    <m/>
    <m/>
    <m/>
    <m/>
    <m/>
  </r>
  <r>
    <x v="0"/>
    <s v="Agent_3"/>
    <s v="Wednesday"/>
    <s v="Morning"/>
    <x v="2"/>
    <n v="66"/>
    <n v="5.88"/>
    <x v="6"/>
    <n v="0.89"/>
    <n v="4.6100000000000003"/>
    <x v="0"/>
    <n v="23.82"/>
    <s v="Low"/>
    <m/>
    <m/>
    <m/>
    <m/>
    <m/>
    <m/>
    <m/>
    <m/>
    <m/>
    <m/>
    <m/>
    <m/>
    <m/>
  </r>
  <r>
    <x v="0"/>
    <s v="Agent_3"/>
    <s v="Wednesday"/>
    <s v="Afternoon"/>
    <x v="0"/>
    <n v="52"/>
    <n v="6.74"/>
    <x v="2"/>
    <n v="0.82"/>
    <n v="3.98"/>
    <x v="0"/>
    <n v="25.11"/>
    <s v="Low"/>
    <m/>
    <m/>
    <m/>
    <m/>
    <m/>
    <m/>
    <m/>
    <m/>
    <m/>
    <m/>
    <m/>
    <m/>
    <m/>
  </r>
  <r>
    <x v="0"/>
    <s v="Agent_3"/>
    <s v="Wednesday"/>
    <s v="Evening"/>
    <x v="2"/>
    <n v="32"/>
    <n v="5.12"/>
    <x v="0"/>
    <n v="0.85"/>
    <n v="3.68"/>
    <x v="0"/>
    <n v="22.68"/>
    <s v="Low"/>
    <m/>
    <m/>
    <m/>
    <m/>
    <m/>
    <m/>
    <m/>
    <m/>
    <m/>
    <m/>
    <m/>
    <m/>
    <m/>
  </r>
  <r>
    <x v="0"/>
    <s v="Agent_3"/>
    <s v="Thursday"/>
    <s v="Morning"/>
    <x v="2"/>
    <n v="46"/>
    <n v="6.15"/>
    <x v="13"/>
    <n v="0.77"/>
    <n v="4.42"/>
    <x v="0"/>
    <n v="24.22"/>
    <s v="Low"/>
    <m/>
    <m/>
    <m/>
    <m/>
    <m/>
    <m/>
    <m/>
    <m/>
    <m/>
    <m/>
    <m/>
    <m/>
    <m/>
  </r>
  <r>
    <x v="0"/>
    <s v="Agent_3"/>
    <s v="Thursday"/>
    <s v="Afternoon"/>
    <x v="1"/>
    <n v="55"/>
    <n v="6.3"/>
    <x v="17"/>
    <n v="0.83"/>
    <n v="4.1500000000000004"/>
    <x v="2"/>
    <n v="26.45"/>
    <s v="Low"/>
    <m/>
    <m/>
    <m/>
    <m/>
    <m/>
    <m/>
    <m/>
    <m/>
    <m/>
    <m/>
    <m/>
    <m/>
    <m/>
  </r>
  <r>
    <x v="0"/>
    <s v="Agent_3"/>
    <s v="Thursday"/>
    <s v="Evening"/>
    <x v="0"/>
    <n v="75"/>
    <n v="6.26"/>
    <x v="9"/>
    <n v="0.82"/>
    <n v="3.94"/>
    <x v="0"/>
    <n v="24.39"/>
    <s v="Low"/>
    <m/>
    <m/>
    <m/>
    <m/>
    <m/>
    <m/>
    <m/>
    <m/>
    <m/>
    <m/>
    <m/>
    <m/>
    <m/>
  </r>
  <r>
    <x v="0"/>
    <s v="Agent_3"/>
    <s v="Friday"/>
    <s v="Morning"/>
    <x v="1"/>
    <n v="52"/>
    <n v="4.8"/>
    <x v="7"/>
    <n v="0.9"/>
    <n v="4.59"/>
    <x v="1"/>
    <n v="26.2"/>
    <s v="Low"/>
    <m/>
    <m/>
    <m/>
    <m/>
    <m/>
    <m/>
    <m/>
    <m/>
    <m/>
    <m/>
    <m/>
    <m/>
    <m/>
  </r>
  <r>
    <x v="0"/>
    <s v="Agent_3"/>
    <s v="Friday"/>
    <s v="Afternoon"/>
    <x v="1"/>
    <n v="71"/>
    <n v="7.2"/>
    <x v="18"/>
    <n v="0.8"/>
    <n v="3.67"/>
    <x v="0"/>
    <n v="25.8"/>
    <s v="Low"/>
    <m/>
    <m/>
    <m/>
    <m/>
    <m/>
    <m/>
    <m/>
    <m/>
    <m/>
    <m/>
    <m/>
    <m/>
    <m/>
  </r>
  <r>
    <x v="0"/>
    <s v="Agent_3"/>
    <s v="Friday"/>
    <s v="Evening"/>
    <x v="2"/>
    <n v="73"/>
    <n v="5.95"/>
    <x v="13"/>
    <n v="0.65"/>
    <n v="4.03"/>
    <x v="2"/>
    <n v="25.92"/>
    <s v="Low"/>
    <m/>
    <m/>
    <m/>
    <m/>
    <m/>
    <m/>
    <m/>
    <m/>
    <m/>
    <m/>
    <m/>
    <m/>
    <m/>
  </r>
  <r>
    <x v="0"/>
    <s v="Agent_4"/>
    <s v="Monday"/>
    <s v="Morning"/>
    <x v="1"/>
    <n v="45"/>
    <n v="6.52"/>
    <x v="16"/>
    <n v="0.83"/>
    <n v="3.92"/>
    <x v="2"/>
    <n v="26.78"/>
    <s v="Low"/>
    <m/>
    <m/>
    <m/>
    <m/>
    <m/>
    <m/>
    <m/>
    <m/>
    <m/>
    <m/>
    <m/>
    <m/>
    <m/>
  </r>
  <r>
    <x v="0"/>
    <s v="Agent_4"/>
    <s v="Monday"/>
    <s v="Afternoon"/>
    <x v="1"/>
    <n v="57"/>
    <n v="5.14"/>
    <x v="0"/>
    <n v="0.76"/>
    <n v="4.0599999999999996"/>
    <x v="2"/>
    <n v="24.71"/>
    <s v="Low"/>
    <m/>
    <m/>
    <m/>
    <m/>
    <m/>
    <m/>
    <m/>
    <m/>
    <m/>
    <m/>
    <m/>
    <m/>
    <m/>
  </r>
  <r>
    <x v="0"/>
    <s v="Agent_4"/>
    <s v="Monday"/>
    <s v="Evening"/>
    <x v="1"/>
    <n v="30"/>
    <n v="6.84"/>
    <x v="19"/>
    <n v="0.66"/>
    <n v="3.62"/>
    <x v="0"/>
    <n v="25.26"/>
    <s v="Low"/>
    <m/>
    <m/>
    <m/>
    <m/>
    <m/>
    <m/>
    <m/>
    <m/>
    <m/>
    <m/>
    <m/>
    <m/>
    <m/>
  </r>
  <r>
    <x v="0"/>
    <s v="Agent_4"/>
    <s v="Tuesday"/>
    <s v="Morning"/>
    <x v="2"/>
    <n v="30"/>
    <n v="8.1199999999999992"/>
    <x v="8"/>
    <n v="0.79"/>
    <n v="3.96"/>
    <x v="2"/>
    <n v="29.18"/>
    <s v="High"/>
    <m/>
    <m/>
    <m/>
    <m/>
    <m/>
    <m/>
    <m/>
    <m/>
    <m/>
    <m/>
    <m/>
    <m/>
    <m/>
  </r>
  <r>
    <x v="0"/>
    <s v="Agent_4"/>
    <s v="Tuesday"/>
    <s v="Afternoon"/>
    <x v="1"/>
    <n v="43"/>
    <n v="7.03"/>
    <x v="8"/>
    <n v="0.76"/>
    <n v="3.9"/>
    <x v="3"/>
    <n v="31.54"/>
    <s v="High"/>
    <m/>
    <m/>
    <m/>
    <m/>
    <m/>
    <m/>
    <m/>
    <m/>
    <m/>
    <m/>
    <m/>
    <m/>
    <m/>
  </r>
  <r>
    <x v="0"/>
    <s v="Agent_4"/>
    <s v="Tuesday"/>
    <s v="Evening"/>
    <x v="1"/>
    <n v="45"/>
    <n v="5.98"/>
    <x v="10"/>
    <n v="0.64"/>
    <n v="4.0599999999999996"/>
    <x v="0"/>
    <n v="23.97"/>
    <s v="Low"/>
    <m/>
    <m/>
    <m/>
    <m/>
    <m/>
    <m/>
    <m/>
    <m/>
    <m/>
    <m/>
    <m/>
    <m/>
    <m/>
  </r>
  <r>
    <x v="0"/>
    <s v="Agent_4"/>
    <s v="Wednesday"/>
    <s v="Morning"/>
    <x v="0"/>
    <n v="34"/>
    <n v="5.07"/>
    <x v="12"/>
    <n v="0.79"/>
    <n v="3.52"/>
    <x v="1"/>
    <n v="26.6"/>
    <s v="Low"/>
    <m/>
    <m/>
    <m/>
    <m/>
    <m/>
    <m/>
    <m/>
    <m/>
    <m/>
    <m/>
    <m/>
    <m/>
    <m/>
  </r>
  <r>
    <x v="0"/>
    <s v="Agent_4"/>
    <s v="Wednesday"/>
    <s v="Afternoon"/>
    <x v="0"/>
    <n v="34"/>
    <n v="6.97"/>
    <x v="12"/>
    <n v="0.89"/>
    <n v="4.63"/>
    <x v="2"/>
    <n v="27.46"/>
    <s v="Low"/>
    <m/>
    <m/>
    <m/>
    <m/>
    <m/>
    <m/>
    <m/>
    <m/>
    <m/>
    <m/>
    <m/>
    <m/>
    <m/>
  </r>
  <r>
    <x v="0"/>
    <s v="Agent_4"/>
    <s v="Wednesday"/>
    <s v="Evening"/>
    <x v="2"/>
    <n v="41"/>
    <n v="7.54"/>
    <x v="8"/>
    <n v="0.76"/>
    <n v="4.0999999999999996"/>
    <x v="0"/>
    <n v="26.31"/>
    <s v="Low"/>
    <m/>
    <m/>
    <m/>
    <m/>
    <m/>
    <m/>
    <m/>
    <m/>
    <m/>
    <m/>
    <m/>
    <m/>
    <m/>
  </r>
  <r>
    <x v="0"/>
    <s v="Agent_4"/>
    <s v="Thursday"/>
    <s v="Morning"/>
    <x v="2"/>
    <n v="32"/>
    <n v="6.5"/>
    <x v="2"/>
    <n v="0.79"/>
    <n v="3.78"/>
    <x v="0"/>
    <n v="24.75"/>
    <s v="Low"/>
    <m/>
    <m/>
    <m/>
    <m/>
    <m/>
    <m/>
    <m/>
    <m/>
    <m/>
    <m/>
    <m/>
    <m/>
    <m/>
  </r>
  <r>
    <x v="0"/>
    <s v="Agent_4"/>
    <s v="Thursday"/>
    <s v="Afternoon"/>
    <x v="1"/>
    <n v="79"/>
    <n v="7.06"/>
    <x v="20"/>
    <n v="0.76"/>
    <n v="3.91"/>
    <x v="1"/>
    <n v="29.59"/>
    <s v="High"/>
    <m/>
    <m/>
    <m/>
    <m/>
    <m/>
    <m/>
    <m/>
    <m/>
    <m/>
    <m/>
    <m/>
    <m/>
    <m/>
  </r>
  <r>
    <x v="0"/>
    <s v="Agent_4"/>
    <s v="Thursday"/>
    <s v="Evening"/>
    <x v="1"/>
    <n v="63"/>
    <n v="5.97"/>
    <x v="20"/>
    <n v="0.69"/>
    <n v="4.72"/>
    <x v="0"/>
    <n v="23.96"/>
    <s v="Low"/>
    <m/>
    <m/>
    <m/>
    <m/>
    <m/>
    <m/>
    <m/>
    <m/>
    <m/>
    <m/>
    <m/>
    <m/>
    <m/>
  </r>
  <r>
    <x v="0"/>
    <s v="Agent_4"/>
    <s v="Friday"/>
    <s v="Morning"/>
    <x v="0"/>
    <n v="65"/>
    <n v="4.28"/>
    <x v="5"/>
    <n v="0.86"/>
    <n v="4.55"/>
    <x v="3"/>
    <n v="27.42"/>
    <s v="Low"/>
    <m/>
    <m/>
    <m/>
    <m/>
    <m/>
    <m/>
    <m/>
    <m/>
    <m/>
    <m/>
    <m/>
    <m/>
    <m/>
  </r>
  <r>
    <x v="0"/>
    <s v="Agent_4"/>
    <s v="Friday"/>
    <s v="Afternoon"/>
    <x v="0"/>
    <n v="47"/>
    <n v="6.49"/>
    <x v="13"/>
    <n v="0.83"/>
    <n v="3.81"/>
    <x v="2"/>
    <n v="26.74"/>
    <s v="Low"/>
    <m/>
    <m/>
    <m/>
    <m/>
    <m/>
    <m/>
    <m/>
    <m/>
    <m/>
    <m/>
    <m/>
    <m/>
    <m/>
  </r>
  <r>
    <x v="0"/>
    <s v="Agent_4"/>
    <s v="Friday"/>
    <s v="Evening"/>
    <x v="2"/>
    <n v="64"/>
    <n v="4.47"/>
    <x v="4"/>
    <n v="0.83"/>
    <n v="4.16"/>
    <x v="1"/>
    <n v="25.7"/>
    <s v="Low"/>
    <m/>
    <m/>
    <m/>
    <m/>
    <m/>
    <m/>
    <m/>
    <m/>
    <m/>
    <m/>
    <m/>
    <m/>
    <m/>
  </r>
  <r>
    <x v="0"/>
    <s v="Agent_5"/>
    <s v="Monday"/>
    <s v="Morning"/>
    <x v="0"/>
    <n v="48"/>
    <n v="6.32"/>
    <x v="12"/>
    <n v="0.84"/>
    <n v="4.32"/>
    <x v="0"/>
    <n v="24.48"/>
    <s v="Low"/>
    <m/>
    <m/>
    <m/>
    <m/>
    <m/>
    <m/>
    <m/>
    <m/>
    <m/>
    <m/>
    <m/>
    <m/>
    <m/>
  </r>
  <r>
    <x v="0"/>
    <s v="Agent_5"/>
    <s v="Monday"/>
    <s v="Afternoon"/>
    <x v="1"/>
    <n v="54"/>
    <n v="5.87"/>
    <x v="14"/>
    <n v="0.78"/>
    <n v="4.7300000000000004"/>
    <x v="2"/>
    <n v="25.8"/>
    <s v="Low"/>
    <m/>
    <m/>
    <m/>
    <m/>
    <m/>
    <m/>
    <m/>
    <m/>
    <m/>
    <m/>
    <m/>
    <m/>
    <m/>
  </r>
  <r>
    <x v="0"/>
    <s v="Agent_5"/>
    <s v="Monday"/>
    <s v="Evening"/>
    <x v="1"/>
    <n v="71"/>
    <n v="7.81"/>
    <x v="16"/>
    <n v="0.77"/>
    <n v="4.59"/>
    <x v="1"/>
    <n v="30.72"/>
    <s v="High"/>
    <m/>
    <m/>
    <m/>
    <m/>
    <m/>
    <m/>
    <m/>
    <m/>
    <m/>
    <m/>
    <m/>
    <m/>
    <m/>
  </r>
  <r>
    <x v="0"/>
    <s v="Agent_5"/>
    <s v="Tuesday"/>
    <s v="Morning"/>
    <x v="2"/>
    <n v="75"/>
    <n v="6.4"/>
    <x v="1"/>
    <n v="0.76"/>
    <n v="4.57"/>
    <x v="2"/>
    <n v="26.6"/>
    <s v="Low"/>
    <m/>
    <m/>
    <m/>
    <m/>
    <m/>
    <m/>
    <m/>
    <m/>
    <m/>
    <m/>
    <m/>
    <m/>
    <m/>
  </r>
  <r>
    <x v="0"/>
    <s v="Agent_5"/>
    <s v="Tuesday"/>
    <s v="Afternoon"/>
    <x v="1"/>
    <n v="66"/>
    <n v="6.45"/>
    <x v="21"/>
    <n v="0.88"/>
    <n v="3.81"/>
    <x v="1"/>
    <n v="28.68"/>
    <s v="High"/>
    <m/>
    <m/>
    <m/>
    <m/>
    <m/>
    <m/>
    <m/>
    <m/>
    <m/>
    <m/>
    <m/>
    <m/>
    <m/>
  </r>
  <r>
    <x v="0"/>
    <s v="Agent_5"/>
    <s v="Tuesday"/>
    <s v="Evening"/>
    <x v="0"/>
    <n v="65"/>
    <n v="4.54"/>
    <x v="8"/>
    <n v="0.62"/>
    <n v="4.51"/>
    <x v="0"/>
    <n v="21.81"/>
    <s v="Low"/>
    <m/>
    <m/>
    <m/>
    <m/>
    <m/>
    <m/>
    <m/>
    <m/>
    <m/>
    <m/>
    <m/>
    <m/>
    <m/>
  </r>
  <r>
    <x v="0"/>
    <s v="Agent_5"/>
    <s v="Wednesday"/>
    <s v="Morning"/>
    <x v="0"/>
    <n v="55"/>
    <n v="5.28"/>
    <x v="2"/>
    <n v="0.81"/>
    <n v="4.24"/>
    <x v="2"/>
    <n v="24.92"/>
    <s v="Low"/>
    <m/>
    <m/>
    <m/>
    <m/>
    <m/>
    <m/>
    <m/>
    <m/>
    <m/>
    <m/>
    <m/>
    <m/>
    <m/>
  </r>
  <r>
    <x v="0"/>
    <s v="Agent_5"/>
    <s v="Wednesday"/>
    <s v="Afternoon"/>
    <x v="2"/>
    <n v="70"/>
    <n v="4.12"/>
    <x v="9"/>
    <n v="0.85"/>
    <n v="3.81"/>
    <x v="0"/>
    <n v="21.18"/>
    <s v="Low"/>
    <m/>
    <m/>
    <m/>
    <m/>
    <m/>
    <m/>
    <m/>
    <m/>
    <m/>
    <m/>
    <m/>
    <m/>
    <m/>
  </r>
  <r>
    <x v="0"/>
    <s v="Agent_5"/>
    <s v="Wednesday"/>
    <s v="Evening"/>
    <x v="0"/>
    <n v="54"/>
    <n v="5.66"/>
    <x v="6"/>
    <n v="0.6"/>
    <n v="4.76"/>
    <x v="0"/>
    <n v="23.49"/>
    <s v="Low"/>
    <m/>
    <m/>
    <m/>
    <m/>
    <m/>
    <m/>
    <m/>
    <m/>
    <m/>
    <m/>
    <m/>
    <m/>
    <m/>
  </r>
  <r>
    <x v="0"/>
    <s v="Agent_5"/>
    <s v="Thursday"/>
    <s v="Morning"/>
    <x v="2"/>
    <n v="50"/>
    <n v="6.46"/>
    <x v="6"/>
    <n v="0.76"/>
    <n v="4.22"/>
    <x v="3"/>
    <n v="30.69"/>
    <s v="High"/>
    <m/>
    <m/>
    <m/>
    <m/>
    <m/>
    <m/>
    <m/>
    <m/>
    <m/>
    <m/>
    <m/>
    <m/>
    <m/>
  </r>
  <r>
    <x v="0"/>
    <s v="Agent_5"/>
    <s v="Thursday"/>
    <s v="Afternoon"/>
    <x v="0"/>
    <n v="70"/>
    <n v="5.3"/>
    <x v="6"/>
    <n v="0.85"/>
    <n v="4"/>
    <x v="2"/>
    <n v="24.95"/>
    <s v="Low"/>
    <m/>
    <m/>
    <m/>
    <m/>
    <m/>
    <m/>
    <m/>
    <m/>
    <m/>
    <m/>
    <m/>
    <m/>
    <m/>
  </r>
  <r>
    <x v="0"/>
    <s v="Agent_5"/>
    <s v="Thursday"/>
    <s v="Evening"/>
    <x v="2"/>
    <n v="39"/>
    <n v="5.03"/>
    <x v="12"/>
    <n v="0.82"/>
    <n v="4.09"/>
    <x v="2"/>
    <n v="24.54"/>
    <s v="Low"/>
    <m/>
    <m/>
    <m/>
    <m/>
    <m/>
    <m/>
    <m/>
    <m/>
    <m/>
    <m/>
    <m/>
    <m/>
    <m/>
  </r>
  <r>
    <x v="0"/>
    <s v="Agent_5"/>
    <s v="Friday"/>
    <s v="Morning"/>
    <x v="1"/>
    <n v="57"/>
    <n v="4.79"/>
    <x v="1"/>
    <n v="0.79"/>
    <n v="3.97"/>
    <x v="0"/>
    <n v="22.18"/>
    <s v="Low"/>
    <m/>
    <m/>
    <m/>
    <m/>
    <m/>
    <m/>
    <m/>
    <m/>
    <m/>
    <m/>
    <m/>
    <m/>
    <m/>
  </r>
  <r>
    <x v="0"/>
    <s v="Agent_5"/>
    <s v="Friday"/>
    <s v="Afternoon"/>
    <x v="0"/>
    <n v="46"/>
    <n v="7.59"/>
    <x v="22"/>
    <n v="0.81"/>
    <n v="4.28"/>
    <x v="0"/>
    <n v="26.38"/>
    <s v="Low"/>
    <m/>
    <m/>
    <m/>
    <m/>
    <m/>
    <m/>
    <m/>
    <m/>
    <m/>
    <m/>
    <m/>
    <m/>
    <m/>
  </r>
  <r>
    <x v="0"/>
    <s v="Agent_5"/>
    <s v="Friday"/>
    <s v="Evening"/>
    <x v="1"/>
    <n v="64"/>
    <n v="6.74"/>
    <x v="6"/>
    <n v="0.83"/>
    <n v="4.63"/>
    <x v="0"/>
    <n v="25.11"/>
    <s v="Low"/>
    <m/>
    <m/>
    <m/>
    <m/>
    <m/>
    <m/>
    <m/>
    <m/>
    <m/>
    <m/>
    <m/>
    <m/>
    <m/>
  </r>
  <r>
    <x v="0"/>
    <s v="Agent_6"/>
    <s v="Monday"/>
    <s v="Morning"/>
    <x v="1"/>
    <n v="62"/>
    <n v="7.48"/>
    <x v="23"/>
    <n v="0.82"/>
    <n v="4.78"/>
    <x v="0"/>
    <n v="26.22"/>
    <s v="Low"/>
    <m/>
    <m/>
    <m/>
    <m/>
    <m/>
    <m/>
    <m/>
    <m/>
    <m/>
    <m/>
    <m/>
    <m/>
    <m/>
  </r>
  <r>
    <x v="0"/>
    <s v="Agent_6"/>
    <s v="Monday"/>
    <s v="Afternoon"/>
    <x v="2"/>
    <n v="54"/>
    <n v="5.89"/>
    <x v="8"/>
    <n v="0.79"/>
    <n v="3.57"/>
    <x v="1"/>
    <n v="27.84"/>
    <s v="High"/>
    <m/>
    <m/>
    <m/>
    <m/>
    <m/>
    <m/>
    <m/>
    <m/>
    <m/>
    <m/>
    <m/>
    <m/>
    <m/>
  </r>
  <r>
    <x v="0"/>
    <s v="Agent_6"/>
    <s v="Monday"/>
    <s v="Evening"/>
    <x v="2"/>
    <n v="60"/>
    <n v="7.24"/>
    <x v="9"/>
    <n v="0.83"/>
    <n v="4.26"/>
    <x v="2"/>
    <n v="27.86"/>
    <s v="High"/>
    <m/>
    <m/>
    <m/>
    <m/>
    <m/>
    <m/>
    <m/>
    <m/>
    <m/>
    <m/>
    <m/>
    <m/>
    <m/>
  </r>
  <r>
    <x v="0"/>
    <s v="Agent_6"/>
    <s v="Tuesday"/>
    <s v="Morning"/>
    <x v="2"/>
    <n v="48"/>
    <n v="5.69"/>
    <x v="5"/>
    <n v="0.89"/>
    <n v="4.29"/>
    <x v="0"/>
    <n v="23.54"/>
    <s v="Low"/>
    <m/>
    <m/>
    <m/>
    <m/>
    <m/>
    <m/>
    <m/>
    <m/>
    <m/>
    <m/>
    <m/>
    <m/>
    <m/>
  </r>
  <r>
    <x v="0"/>
    <s v="Agent_6"/>
    <s v="Tuesday"/>
    <s v="Afternoon"/>
    <x v="0"/>
    <n v="61"/>
    <n v="4.4000000000000004"/>
    <x v="4"/>
    <n v="0.79"/>
    <n v="3.53"/>
    <x v="0"/>
    <n v="21.6"/>
    <s v="Low"/>
    <m/>
    <m/>
    <m/>
    <m/>
    <m/>
    <m/>
    <m/>
    <m/>
    <m/>
    <m/>
    <m/>
    <m/>
    <m/>
  </r>
  <r>
    <x v="0"/>
    <s v="Agent_6"/>
    <s v="Tuesday"/>
    <s v="Evening"/>
    <x v="0"/>
    <n v="32"/>
    <n v="7.18"/>
    <x v="7"/>
    <n v="0.74"/>
    <n v="4.6399999999999997"/>
    <x v="0"/>
    <n v="25.77"/>
    <s v="Low"/>
    <m/>
    <m/>
    <m/>
    <m/>
    <m/>
    <m/>
    <m/>
    <m/>
    <m/>
    <m/>
    <m/>
    <m/>
    <m/>
  </r>
  <r>
    <x v="0"/>
    <s v="Agent_6"/>
    <s v="Wednesday"/>
    <s v="Morning"/>
    <x v="1"/>
    <n v="76"/>
    <n v="6.07"/>
    <x v="19"/>
    <n v="0.87"/>
    <n v="4.33"/>
    <x v="1"/>
    <n v="28.1"/>
    <s v="High"/>
    <m/>
    <m/>
    <m/>
    <m/>
    <m/>
    <m/>
    <m/>
    <m/>
    <m/>
    <m/>
    <m/>
    <m/>
    <m/>
  </r>
  <r>
    <x v="0"/>
    <s v="Agent_6"/>
    <s v="Wednesday"/>
    <s v="Afternoon"/>
    <x v="2"/>
    <n v="63"/>
    <n v="7.06"/>
    <x v="8"/>
    <n v="0.82"/>
    <n v="4.68"/>
    <x v="0"/>
    <n v="25.59"/>
    <s v="Low"/>
    <m/>
    <m/>
    <m/>
    <m/>
    <m/>
    <m/>
    <m/>
    <m/>
    <m/>
    <m/>
    <m/>
    <m/>
    <m/>
  </r>
  <r>
    <x v="0"/>
    <s v="Agent_6"/>
    <s v="Wednesday"/>
    <s v="Evening"/>
    <x v="0"/>
    <n v="53"/>
    <n v="4.24"/>
    <x v="12"/>
    <n v="0.67"/>
    <n v="4.18"/>
    <x v="2"/>
    <n v="23.36"/>
    <s v="Low"/>
    <m/>
    <m/>
    <m/>
    <m/>
    <m/>
    <m/>
    <m/>
    <m/>
    <m/>
    <m/>
    <m/>
    <m/>
    <m/>
  </r>
  <r>
    <x v="0"/>
    <s v="Agent_6"/>
    <s v="Thursday"/>
    <s v="Morning"/>
    <x v="2"/>
    <n v="39"/>
    <n v="5.99"/>
    <x v="2"/>
    <n v="0.82"/>
    <n v="4.7699999999999996"/>
    <x v="0"/>
    <n v="23.98"/>
    <s v="Low"/>
    <m/>
    <m/>
    <m/>
    <m/>
    <m/>
    <m/>
    <m/>
    <m/>
    <m/>
    <m/>
    <m/>
    <m/>
    <m/>
  </r>
  <r>
    <x v="0"/>
    <s v="Agent_6"/>
    <s v="Thursday"/>
    <s v="Afternoon"/>
    <x v="0"/>
    <n v="72"/>
    <n v="6.8"/>
    <x v="0"/>
    <n v="0.8"/>
    <n v="4.2"/>
    <x v="0"/>
    <n v="25.2"/>
    <s v="Low"/>
    <m/>
    <m/>
    <m/>
    <m/>
    <m/>
    <m/>
    <m/>
    <m/>
    <m/>
    <m/>
    <m/>
    <m/>
    <m/>
  </r>
  <r>
    <x v="0"/>
    <s v="Agent_6"/>
    <s v="Thursday"/>
    <s v="Evening"/>
    <x v="0"/>
    <n v="40"/>
    <n v="6.37"/>
    <x v="5"/>
    <n v="0.69"/>
    <n v="4.67"/>
    <x v="0"/>
    <n v="24.56"/>
    <s v="Low"/>
    <m/>
    <m/>
    <m/>
    <m/>
    <m/>
    <m/>
    <m/>
    <m/>
    <m/>
    <m/>
    <m/>
    <m/>
    <m/>
  </r>
  <r>
    <x v="0"/>
    <s v="Agent_6"/>
    <s v="Friday"/>
    <s v="Morning"/>
    <x v="0"/>
    <n v="79"/>
    <n v="5.0599999999999996"/>
    <x v="0"/>
    <n v="0.78"/>
    <n v="4.57"/>
    <x v="0"/>
    <n v="22.59"/>
    <s v="Low"/>
    <m/>
    <m/>
    <m/>
    <m/>
    <m/>
    <m/>
    <m/>
    <m/>
    <m/>
    <m/>
    <m/>
    <m/>
    <m/>
  </r>
  <r>
    <x v="0"/>
    <s v="Agent_6"/>
    <s v="Friday"/>
    <s v="Afternoon"/>
    <x v="0"/>
    <n v="51"/>
    <n v="4.57"/>
    <x v="8"/>
    <n v="0.83"/>
    <n v="4.4000000000000004"/>
    <x v="0"/>
    <n v="21.86"/>
    <s v="Low"/>
    <m/>
    <m/>
    <m/>
    <m/>
    <m/>
    <m/>
    <m/>
    <m/>
    <m/>
    <m/>
    <m/>
    <m/>
    <m/>
  </r>
  <r>
    <x v="0"/>
    <s v="Agent_6"/>
    <s v="Friday"/>
    <s v="Evening"/>
    <x v="2"/>
    <n v="51"/>
    <n v="5.81"/>
    <x v="4"/>
    <n v="0.82"/>
    <n v="4.7"/>
    <x v="0"/>
    <n v="23.72"/>
    <s v="Low"/>
    <m/>
    <m/>
    <m/>
    <m/>
    <m/>
    <m/>
    <m/>
    <m/>
    <m/>
    <m/>
    <m/>
    <m/>
    <m/>
  </r>
  <r>
    <x v="0"/>
    <s v="Agent_7"/>
    <s v="Monday"/>
    <s v="Morning"/>
    <x v="1"/>
    <n v="30"/>
    <n v="6.18"/>
    <x v="24"/>
    <n v="0.83"/>
    <n v="4.7"/>
    <x v="0"/>
    <n v="24.27"/>
    <s v="Low"/>
    <m/>
    <m/>
    <m/>
    <m/>
    <m/>
    <m/>
    <m/>
    <m/>
    <m/>
    <m/>
    <m/>
    <m/>
    <m/>
  </r>
  <r>
    <x v="0"/>
    <s v="Agent_7"/>
    <s v="Monday"/>
    <s v="Afternoon"/>
    <x v="2"/>
    <n v="43"/>
    <n v="5.22"/>
    <x v="3"/>
    <n v="0.86"/>
    <n v="3.55"/>
    <x v="0"/>
    <n v="22.83"/>
    <s v="Low"/>
    <m/>
    <m/>
    <m/>
    <m/>
    <m/>
    <m/>
    <m/>
    <m/>
    <m/>
    <m/>
    <m/>
    <m/>
    <m/>
  </r>
  <r>
    <x v="0"/>
    <s v="Agent_7"/>
    <s v="Monday"/>
    <s v="Evening"/>
    <x v="2"/>
    <n v="76"/>
    <n v="6.47"/>
    <x v="15"/>
    <n v="0.82"/>
    <n v="3.96"/>
    <x v="0"/>
    <n v="24.7"/>
    <s v="Low"/>
    <m/>
    <m/>
    <m/>
    <m/>
    <m/>
    <m/>
    <m/>
    <m/>
    <m/>
    <m/>
    <m/>
    <m/>
    <m/>
  </r>
  <r>
    <x v="0"/>
    <s v="Agent_7"/>
    <s v="Tuesday"/>
    <s v="Morning"/>
    <x v="1"/>
    <n v="66"/>
    <n v="6.65"/>
    <x v="0"/>
    <n v="0.83"/>
    <n v="4.59"/>
    <x v="0"/>
    <n v="24.98"/>
    <s v="Low"/>
    <m/>
    <m/>
    <m/>
    <m/>
    <m/>
    <m/>
    <m/>
    <m/>
    <m/>
    <m/>
    <m/>
    <m/>
    <m/>
  </r>
  <r>
    <x v="0"/>
    <s v="Agent_7"/>
    <s v="Tuesday"/>
    <s v="Afternoon"/>
    <x v="0"/>
    <n v="54"/>
    <n v="6.22"/>
    <x v="1"/>
    <n v="0.87"/>
    <n v="4.1500000000000004"/>
    <x v="0"/>
    <n v="24.33"/>
    <s v="Low"/>
    <m/>
    <m/>
    <m/>
    <m/>
    <m/>
    <m/>
    <m/>
    <m/>
    <m/>
    <m/>
    <m/>
    <m/>
    <m/>
  </r>
  <r>
    <x v="0"/>
    <s v="Agent_7"/>
    <s v="Tuesday"/>
    <s v="Evening"/>
    <x v="0"/>
    <n v="63"/>
    <n v="6.91"/>
    <x v="7"/>
    <n v="0.75"/>
    <n v="4.2300000000000004"/>
    <x v="0"/>
    <n v="25.36"/>
    <s v="Low"/>
    <m/>
    <m/>
    <m/>
    <m/>
    <m/>
    <m/>
    <m/>
    <m/>
    <m/>
    <m/>
    <m/>
    <m/>
    <m/>
  </r>
  <r>
    <x v="0"/>
    <s v="Agent_7"/>
    <s v="Wednesday"/>
    <s v="Morning"/>
    <x v="0"/>
    <n v="55"/>
    <n v="4.58"/>
    <x v="3"/>
    <n v="0.8"/>
    <n v="4.71"/>
    <x v="0"/>
    <n v="21.87"/>
    <s v="Low"/>
    <m/>
    <m/>
    <m/>
    <m/>
    <m/>
    <m/>
    <m/>
    <m/>
    <m/>
    <m/>
    <m/>
    <m/>
    <m/>
  </r>
  <r>
    <x v="0"/>
    <s v="Agent_7"/>
    <s v="Wednesday"/>
    <s v="Afternoon"/>
    <x v="1"/>
    <n v="35"/>
    <n v="6.6"/>
    <x v="1"/>
    <n v="0.77"/>
    <n v="3.74"/>
    <x v="0"/>
    <n v="24.9"/>
    <s v="Low"/>
    <m/>
    <m/>
    <m/>
    <m/>
    <m/>
    <m/>
    <m/>
    <m/>
    <m/>
    <m/>
    <m/>
    <m/>
    <m/>
  </r>
  <r>
    <x v="0"/>
    <s v="Agent_7"/>
    <s v="Wednesday"/>
    <s v="Evening"/>
    <x v="1"/>
    <n v="38"/>
    <n v="6.05"/>
    <x v="6"/>
    <n v="0.85"/>
    <n v="3.65"/>
    <x v="0"/>
    <n v="24.08"/>
    <s v="Low"/>
    <m/>
    <m/>
    <m/>
    <m/>
    <m/>
    <m/>
    <m/>
    <m/>
    <m/>
    <m/>
    <m/>
    <m/>
    <m/>
  </r>
  <r>
    <x v="0"/>
    <s v="Agent_7"/>
    <s v="Thursday"/>
    <s v="Morning"/>
    <x v="2"/>
    <n v="33"/>
    <n v="5.17"/>
    <x v="15"/>
    <n v="0.9"/>
    <n v="4.1399999999999997"/>
    <x v="2"/>
    <n v="24.76"/>
    <s v="Low"/>
    <m/>
    <m/>
    <m/>
    <m/>
    <m/>
    <m/>
    <m/>
    <m/>
    <m/>
    <m/>
    <m/>
    <m/>
    <m/>
  </r>
  <r>
    <x v="0"/>
    <s v="Agent_7"/>
    <s v="Thursday"/>
    <s v="Afternoon"/>
    <x v="2"/>
    <n v="31"/>
    <n v="8.0399999999999991"/>
    <x v="22"/>
    <n v="0.87"/>
    <n v="3.74"/>
    <x v="0"/>
    <n v="27.06"/>
    <s v="Low"/>
    <m/>
    <m/>
    <m/>
    <m/>
    <m/>
    <m/>
    <m/>
    <m/>
    <m/>
    <m/>
    <m/>
    <m/>
    <m/>
  </r>
  <r>
    <x v="0"/>
    <s v="Agent_7"/>
    <s v="Thursday"/>
    <s v="Evening"/>
    <x v="0"/>
    <n v="62"/>
    <n v="7.62"/>
    <x v="9"/>
    <n v="0.73"/>
    <n v="4.42"/>
    <x v="2"/>
    <n v="28.43"/>
    <s v="High"/>
    <m/>
    <m/>
    <m/>
    <m/>
    <m/>
    <m/>
    <m/>
    <m/>
    <m/>
    <m/>
    <m/>
    <m/>
    <m/>
  </r>
  <r>
    <x v="0"/>
    <s v="Agent_7"/>
    <s v="Friday"/>
    <s v="Morning"/>
    <x v="1"/>
    <n v="40"/>
    <n v="5.8"/>
    <x v="25"/>
    <n v="0.81"/>
    <n v="4.09"/>
    <x v="0"/>
    <n v="23.7"/>
    <s v="Low"/>
    <m/>
    <m/>
    <m/>
    <m/>
    <m/>
    <m/>
    <m/>
    <m/>
    <m/>
    <m/>
    <m/>
    <m/>
    <m/>
  </r>
  <r>
    <x v="0"/>
    <s v="Agent_7"/>
    <s v="Friday"/>
    <s v="Afternoon"/>
    <x v="0"/>
    <n v="31"/>
    <n v="6.48"/>
    <x v="22"/>
    <n v="0.87"/>
    <n v="3.83"/>
    <x v="2"/>
    <n v="26.72"/>
    <s v="Low"/>
    <m/>
    <m/>
    <m/>
    <m/>
    <m/>
    <m/>
    <m/>
    <m/>
    <m/>
    <m/>
    <m/>
    <m/>
    <m/>
  </r>
  <r>
    <x v="0"/>
    <s v="Agent_7"/>
    <s v="Friday"/>
    <s v="Evening"/>
    <x v="2"/>
    <n v="40"/>
    <n v="8.39"/>
    <x v="9"/>
    <n v="0.63"/>
    <n v="4.6100000000000003"/>
    <x v="2"/>
    <n v="29.58"/>
    <s v="High"/>
    <m/>
    <m/>
    <m/>
    <m/>
    <m/>
    <m/>
    <m/>
    <m/>
    <m/>
    <m/>
    <m/>
    <m/>
    <m/>
  </r>
  <r>
    <x v="0"/>
    <s v="Agent_8"/>
    <s v="Monday"/>
    <s v="Morning"/>
    <x v="0"/>
    <n v="40"/>
    <n v="5.4"/>
    <x v="12"/>
    <n v="0.78"/>
    <n v="3.59"/>
    <x v="2"/>
    <n v="25.1"/>
    <s v="Low"/>
    <m/>
    <m/>
    <m/>
    <m/>
    <m/>
    <m/>
    <m/>
    <m/>
    <m/>
    <m/>
    <m/>
    <m/>
    <m/>
  </r>
  <r>
    <x v="0"/>
    <s v="Agent_8"/>
    <s v="Monday"/>
    <s v="Afternoon"/>
    <x v="0"/>
    <n v="58"/>
    <n v="6.34"/>
    <x v="2"/>
    <n v="0.77"/>
    <n v="3.71"/>
    <x v="1"/>
    <n v="28.51"/>
    <s v="High"/>
    <m/>
    <m/>
    <m/>
    <m/>
    <m/>
    <m/>
    <m/>
    <m/>
    <m/>
    <m/>
    <m/>
    <m/>
    <m/>
  </r>
  <r>
    <x v="0"/>
    <s v="Agent_8"/>
    <s v="Monday"/>
    <s v="Evening"/>
    <x v="0"/>
    <n v="55"/>
    <n v="5.59"/>
    <x v="12"/>
    <n v="0.68"/>
    <n v="4.26"/>
    <x v="2"/>
    <n v="25.38"/>
    <s v="Low"/>
    <m/>
    <m/>
    <m/>
    <m/>
    <m/>
    <m/>
    <m/>
    <m/>
    <m/>
    <m/>
    <m/>
    <m/>
    <m/>
  </r>
  <r>
    <x v="0"/>
    <s v="Agent_8"/>
    <s v="Tuesday"/>
    <s v="Morning"/>
    <x v="0"/>
    <n v="69"/>
    <n v="5.32"/>
    <x v="22"/>
    <n v="0.86"/>
    <n v="4.1500000000000004"/>
    <x v="0"/>
    <n v="22.98"/>
    <s v="Low"/>
    <m/>
    <m/>
    <m/>
    <m/>
    <m/>
    <m/>
    <m/>
    <m/>
    <m/>
    <m/>
    <m/>
    <m/>
    <m/>
  </r>
  <r>
    <x v="0"/>
    <s v="Agent_8"/>
    <s v="Tuesday"/>
    <s v="Afternoon"/>
    <x v="2"/>
    <n v="31"/>
    <n v="3.77"/>
    <x v="7"/>
    <n v="0.89"/>
    <n v="4.3099999999999996"/>
    <x v="0"/>
    <n v="20.66"/>
    <s v="Low"/>
    <m/>
    <m/>
    <m/>
    <m/>
    <m/>
    <m/>
    <m/>
    <m/>
    <m/>
    <m/>
    <m/>
    <m/>
    <m/>
  </r>
  <r>
    <x v="0"/>
    <s v="Agent_8"/>
    <s v="Tuesday"/>
    <s v="Evening"/>
    <x v="2"/>
    <n v="36"/>
    <n v="6.92"/>
    <x v="5"/>
    <n v="0.82"/>
    <n v="4.1399999999999997"/>
    <x v="2"/>
    <n v="27.38"/>
    <s v="Low"/>
    <m/>
    <m/>
    <m/>
    <m/>
    <m/>
    <m/>
    <m/>
    <m/>
    <m/>
    <m/>
    <m/>
    <m/>
    <m/>
  </r>
  <r>
    <x v="0"/>
    <s v="Agent_8"/>
    <s v="Wednesday"/>
    <s v="Morning"/>
    <x v="0"/>
    <n v="58"/>
    <n v="7.09"/>
    <x v="5"/>
    <n v="0.8"/>
    <n v="3.82"/>
    <x v="2"/>
    <n v="27.64"/>
    <s v="Low"/>
    <m/>
    <m/>
    <m/>
    <m/>
    <m/>
    <m/>
    <m/>
    <m/>
    <m/>
    <m/>
    <m/>
    <m/>
    <m/>
  </r>
  <r>
    <x v="0"/>
    <s v="Agent_8"/>
    <s v="Wednesday"/>
    <s v="Afternoon"/>
    <x v="1"/>
    <n v="51"/>
    <n v="5.95"/>
    <x v="23"/>
    <n v="0.77"/>
    <n v="4.2"/>
    <x v="0"/>
    <n v="23.92"/>
    <s v="Low"/>
    <m/>
    <m/>
    <m/>
    <m/>
    <m/>
    <m/>
    <m/>
    <m/>
    <m/>
    <m/>
    <m/>
    <m/>
    <m/>
  </r>
  <r>
    <x v="0"/>
    <s v="Agent_8"/>
    <s v="Wednesday"/>
    <s v="Evening"/>
    <x v="0"/>
    <n v="44"/>
    <n v="7.84"/>
    <x v="9"/>
    <n v="0.64"/>
    <n v="3.8"/>
    <x v="2"/>
    <n v="28.76"/>
    <s v="High"/>
    <m/>
    <m/>
    <m/>
    <m/>
    <m/>
    <m/>
    <m/>
    <m/>
    <m/>
    <m/>
    <m/>
    <m/>
    <m/>
  </r>
  <r>
    <x v="0"/>
    <s v="Agent_8"/>
    <s v="Thursday"/>
    <s v="Morning"/>
    <x v="2"/>
    <n v="60"/>
    <n v="7.33"/>
    <x v="1"/>
    <n v="0.84"/>
    <n v="4.57"/>
    <x v="3"/>
    <n v="32"/>
    <s v="High"/>
    <m/>
    <m/>
    <m/>
    <m/>
    <m/>
    <m/>
    <m/>
    <m/>
    <m/>
    <m/>
    <m/>
    <m/>
    <m/>
  </r>
  <r>
    <x v="0"/>
    <s v="Agent_8"/>
    <s v="Thursday"/>
    <s v="Afternoon"/>
    <x v="0"/>
    <n v="35"/>
    <n v="8"/>
    <x v="8"/>
    <n v="0.82"/>
    <n v="4.7300000000000004"/>
    <x v="0"/>
    <n v="27"/>
    <s v="Low"/>
    <m/>
    <m/>
    <m/>
    <m/>
    <m/>
    <m/>
    <m/>
    <m/>
    <m/>
    <m/>
    <m/>
    <m/>
    <m/>
  </r>
  <r>
    <x v="0"/>
    <s v="Agent_8"/>
    <s v="Thursday"/>
    <s v="Evening"/>
    <x v="0"/>
    <n v="47"/>
    <n v="5.8"/>
    <x v="13"/>
    <n v="0.83"/>
    <n v="4.2300000000000004"/>
    <x v="2"/>
    <n v="25.7"/>
    <s v="Low"/>
    <m/>
    <m/>
    <m/>
    <m/>
    <m/>
    <m/>
    <m/>
    <m/>
    <m/>
    <m/>
    <m/>
    <m/>
    <m/>
  </r>
  <r>
    <x v="0"/>
    <s v="Agent_8"/>
    <s v="Friday"/>
    <s v="Morning"/>
    <x v="2"/>
    <n v="37"/>
    <n v="6.05"/>
    <x v="0"/>
    <n v="0.87"/>
    <n v="3.99"/>
    <x v="0"/>
    <n v="24.08"/>
    <s v="Low"/>
    <m/>
    <m/>
    <m/>
    <m/>
    <m/>
    <m/>
    <m/>
    <m/>
    <m/>
    <m/>
    <m/>
    <m/>
    <m/>
  </r>
  <r>
    <x v="0"/>
    <s v="Agent_8"/>
    <s v="Friday"/>
    <s v="Afternoon"/>
    <x v="1"/>
    <n v="43"/>
    <n v="5.01"/>
    <x v="24"/>
    <n v="0.88"/>
    <n v="3.66"/>
    <x v="1"/>
    <n v="26.52"/>
    <s v="Low"/>
    <m/>
    <m/>
    <m/>
    <m/>
    <m/>
    <m/>
    <m/>
    <m/>
    <m/>
    <m/>
    <m/>
    <m/>
    <m/>
  </r>
  <r>
    <x v="0"/>
    <s v="Agent_8"/>
    <s v="Friday"/>
    <s v="Evening"/>
    <x v="2"/>
    <n v="69"/>
    <n v="5.87"/>
    <x v="0"/>
    <n v="0.69"/>
    <n v="4.47"/>
    <x v="0"/>
    <n v="23.8"/>
    <s v="Low"/>
    <m/>
    <m/>
    <m/>
    <m/>
    <m/>
    <m/>
    <m/>
    <m/>
    <m/>
    <m/>
    <m/>
    <m/>
    <m/>
  </r>
  <r>
    <x v="0"/>
    <s v="Agent_9"/>
    <s v="Monday"/>
    <s v="Morning"/>
    <x v="2"/>
    <n v="55"/>
    <n v="4.99"/>
    <x v="7"/>
    <n v="0.89"/>
    <n v="3.95"/>
    <x v="0"/>
    <n v="22.48"/>
    <s v="Low"/>
    <m/>
    <m/>
    <m/>
    <m/>
    <m/>
    <m/>
    <m/>
    <m/>
    <m/>
    <m/>
    <m/>
    <m/>
    <m/>
  </r>
  <r>
    <x v="0"/>
    <s v="Agent_9"/>
    <s v="Monday"/>
    <s v="Afternoon"/>
    <x v="2"/>
    <n v="46"/>
    <n v="4.3499999999999996"/>
    <x v="0"/>
    <n v="0.75"/>
    <n v="4.6900000000000004"/>
    <x v="0"/>
    <n v="21.52"/>
    <s v="Low"/>
    <m/>
    <m/>
    <m/>
    <m/>
    <m/>
    <m/>
    <m/>
    <m/>
    <m/>
    <m/>
    <m/>
    <m/>
    <m/>
  </r>
  <r>
    <x v="0"/>
    <s v="Agent_9"/>
    <s v="Monday"/>
    <s v="Evening"/>
    <x v="0"/>
    <n v="35"/>
    <n v="5.28"/>
    <x v="2"/>
    <n v="0.65"/>
    <n v="4.17"/>
    <x v="3"/>
    <n v="28.92"/>
    <s v="High"/>
    <m/>
    <m/>
    <m/>
    <m/>
    <m/>
    <m/>
    <m/>
    <m/>
    <m/>
    <m/>
    <m/>
    <m/>
    <m/>
  </r>
  <r>
    <x v="0"/>
    <s v="Agent_9"/>
    <s v="Tuesday"/>
    <s v="Morning"/>
    <x v="0"/>
    <n v="49"/>
    <n v="6.91"/>
    <x v="8"/>
    <n v="0.76"/>
    <n v="4.8"/>
    <x v="0"/>
    <n v="25.36"/>
    <s v="Low"/>
    <m/>
    <m/>
    <m/>
    <m/>
    <m/>
    <m/>
    <m/>
    <m/>
    <m/>
    <m/>
    <m/>
    <m/>
    <m/>
  </r>
  <r>
    <x v="0"/>
    <s v="Agent_9"/>
    <s v="Tuesday"/>
    <s v="Afternoon"/>
    <x v="0"/>
    <n v="42"/>
    <n v="4.6399999999999997"/>
    <x v="9"/>
    <n v="0.8"/>
    <n v="4.1100000000000003"/>
    <x v="2"/>
    <n v="23.96"/>
    <s v="Low"/>
    <m/>
    <m/>
    <m/>
    <m/>
    <m/>
    <m/>
    <m/>
    <m/>
    <m/>
    <m/>
    <m/>
    <m/>
    <m/>
  </r>
  <r>
    <x v="0"/>
    <s v="Agent_9"/>
    <s v="Tuesday"/>
    <s v="Evening"/>
    <x v="0"/>
    <n v="45"/>
    <n v="4.09"/>
    <x v="7"/>
    <n v="0.62"/>
    <n v="4.51"/>
    <x v="0"/>
    <n v="21.14"/>
    <s v="Low"/>
    <m/>
    <m/>
    <m/>
    <m/>
    <m/>
    <m/>
    <m/>
    <m/>
    <m/>
    <m/>
    <m/>
    <m/>
    <m/>
  </r>
  <r>
    <x v="0"/>
    <s v="Agent_9"/>
    <s v="Wednesday"/>
    <s v="Morning"/>
    <x v="0"/>
    <n v="57"/>
    <n v="5.44"/>
    <x v="9"/>
    <n v="0.77"/>
    <n v="3.93"/>
    <x v="0"/>
    <n v="23.16"/>
    <s v="Low"/>
    <m/>
    <m/>
    <m/>
    <m/>
    <m/>
    <m/>
    <m/>
    <m/>
    <m/>
    <m/>
    <m/>
    <m/>
    <m/>
  </r>
  <r>
    <x v="0"/>
    <s v="Agent_9"/>
    <s v="Wednesday"/>
    <s v="Afternoon"/>
    <x v="2"/>
    <n v="39"/>
    <n v="2.4300000000000002"/>
    <x v="22"/>
    <n v="0.85"/>
    <n v="4.03"/>
    <x v="0"/>
    <n v="18.64"/>
    <s v="Low"/>
    <m/>
    <m/>
    <m/>
    <m/>
    <m/>
    <m/>
    <m/>
    <m/>
    <m/>
    <m/>
    <m/>
    <m/>
    <m/>
  </r>
  <r>
    <x v="0"/>
    <s v="Agent_9"/>
    <s v="Wednesday"/>
    <s v="Evening"/>
    <x v="1"/>
    <n v="79"/>
    <n v="5.74"/>
    <x v="14"/>
    <n v="0.66"/>
    <n v="3.75"/>
    <x v="0"/>
    <n v="23.61"/>
    <s v="Low"/>
    <m/>
    <m/>
    <m/>
    <m/>
    <m/>
    <m/>
    <m/>
    <m/>
    <m/>
    <m/>
    <m/>
    <m/>
    <m/>
  </r>
  <r>
    <x v="0"/>
    <s v="Agent_9"/>
    <s v="Thursday"/>
    <s v="Morning"/>
    <x v="0"/>
    <n v="76"/>
    <n v="7.02"/>
    <x v="7"/>
    <n v="0.88"/>
    <n v="4.22"/>
    <x v="2"/>
    <n v="27.53"/>
    <s v="Low"/>
    <m/>
    <m/>
    <m/>
    <m/>
    <m/>
    <m/>
    <m/>
    <m/>
    <m/>
    <m/>
    <m/>
    <m/>
    <m/>
  </r>
  <r>
    <x v="0"/>
    <s v="Agent_9"/>
    <s v="Thursday"/>
    <s v="Afternoon"/>
    <x v="2"/>
    <n v="53"/>
    <n v="6.71"/>
    <x v="13"/>
    <n v="0.81"/>
    <n v="4.37"/>
    <x v="0"/>
    <n v="25.06"/>
    <s v="Low"/>
    <m/>
    <m/>
    <m/>
    <m/>
    <m/>
    <m/>
    <m/>
    <m/>
    <m/>
    <m/>
    <m/>
    <m/>
    <m/>
  </r>
  <r>
    <x v="0"/>
    <s v="Agent_9"/>
    <s v="Thursday"/>
    <s v="Evening"/>
    <x v="1"/>
    <n v="77"/>
    <n v="6.44"/>
    <x v="8"/>
    <n v="0.76"/>
    <n v="4.46"/>
    <x v="1"/>
    <n v="28.66"/>
    <s v="High"/>
    <m/>
    <m/>
    <m/>
    <m/>
    <m/>
    <m/>
    <m/>
    <m/>
    <m/>
    <m/>
    <m/>
    <m/>
    <m/>
  </r>
  <r>
    <x v="0"/>
    <s v="Agent_9"/>
    <s v="Friday"/>
    <s v="Morning"/>
    <x v="1"/>
    <n v="48"/>
    <n v="4.33"/>
    <x v="21"/>
    <n v="0.87"/>
    <n v="3.94"/>
    <x v="0"/>
    <n v="21.5"/>
    <s v="Low"/>
    <m/>
    <m/>
    <m/>
    <m/>
    <m/>
    <m/>
    <m/>
    <m/>
    <m/>
    <m/>
    <m/>
    <m/>
    <m/>
  </r>
  <r>
    <x v="0"/>
    <s v="Agent_9"/>
    <s v="Friday"/>
    <s v="Afternoon"/>
    <x v="0"/>
    <n v="52"/>
    <n v="7.76"/>
    <x v="15"/>
    <n v="0.87"/>
    <n v="3.95"/>
    <x v="2"/>
    <n v="28.64"/>
    <s v="High"/>
    <m/>
    <m/>
    <m/>
    <m/>
    <m/>
    <m/>
    <m/>
    <m/>
    <m/>
    <m/>
    <m/>
    <m/>
    <m/>
  </r>
  <r>
    <x v="0"/>
    <s v="Agent_9"/>
    <s v="Friday"/>
    <s v="Evening"/>
    <x v="0"/>
    <n v="73"/>
    <n v="5.64"/>
    <x v="7"/>
    <n v="0.85"/>
    <n v="4.1100000000000003"/>
    <x v="0"/>
    <n v="23.46"/>
    <s v="Low"/>
    <m/>
    <m/>
    <m/>
    <m/>
    <m/>
    <m/>
    <m/>
    <m/>
    <m/>
    <m/>
    <m/>
    <m/>
    <m/>
  </r>
  <r>
    <x v="0"/>
    <s v="Agent_10"/>
    <s v="Monday"/>
    <s v="Morning"/>
    <x v="0"/>
    <n v="46"/>
    <n v="6.26"/>
    <x v="2"/>
    <n v="0.83"/>
    <n v="4.32"/>
    <x v="0"/>
    <n v="24.39"/>
    <s v="Low"/>
    <m/>
    <m/>
    <m/>
    <m/>
    <m/>
    <m/>
    <m/>
    <m/>
    <m/>
    <m/>
    <m/>
    <m/>
    <m/>
  </r>
  <r>
    <x v="0"/>
    <s v="Agent_10"/>
    <s v="Monday"/>
    <s v="Afternoon"/>
    <x v="1"/>
    <n v="72"/>
    <n v="4.96"/>
    <x v="17"/>
    <n v="0.85"/>
    <n v="4.3899999999999997"/>
    <x v="1"/>
    <n v="26.44"/>
    <s v="Low"/>
    <m/>
    <m/>
    <m/>
    <m/>
    <m/>
    <m/>
    <m/>
    <m/>
    <m/>
    <m/>
    <m/>
    <m/>
    <m/>
  </r>
  <r>
    <x v="0"/>
    <s v="Agent_10"/>
    <s v="Monday"/>
    <s v="Evening"/>
    <x v="0"/>
    <n v="71"/>
    <n v="5.78"/>
    <x v="7"/>
    <n v="0.67"/>
    <n v="4.22"/>
    <x v="2"/>
    <n v="25.67"/>
    <s v="Low"/>
    <m/>
    <m/>
    <m/>
    <m/>
    <m/>
    <m/>
    <m/>
    <m/>
    <m/>
    <m/>
    <m/>
    <m/>
    <m/>
  </r>
  <r>
    <x v="0"/>
    <s v="Agent_10"/>
    <s v="Tuesday"/>
    <s v="Morning"/>
    <x v="2"/>
    <n v="52"/>
    <n v="5.0999999999999996"/>
    <x v="9"/>
    <n v="0.79"/>
    <n v="4.32"/>
    <x v="0"/>
    <n v="22.65"/>
    <s v="Low"/>
    <m/>
    <m/>
    <m/>
    <m/>
    <m/>
    <m/>
    <m/>
    <m/>
    <m/>
    <m/>
    <m/>
    <m/>
    <m/>
  </r>
  <r>
    <x v="0"/>
    <s v="Agent_10"/>
    <s v="Tuesday"/>
    <s v="Afternoon"/>
    <x v="0"/>
    <n v="46"/>
    <n v="5.09"/>
    <x v="8"/>
    <n v="0.81"/>
    <n v="4.17"/>
    <x v="0"/>
    <n v="22.64"/>
    <s v="Low"/>
    <m/>
    <m/>
    <m/>
    <m/>
    <m/>
    <m/>
    <m/>
    <m/>
    <m/>
    <m/>
    <m/>
    <m/>
    <m/>
  </r>
  <r>
    <x v="0"/>
    <s v="Agent_10"/>
    <s v="Tuesday"/>
    <s v="Evening"/>
    <x v="1"/>
    <n v="72"/>
    <n v="5.77"/>
    <x v="17"/>
    <n v="0.78"/>
    <n v="4.29"/>
    <x v="1"/>
    <n v="27.66"/>
    <s v="Low"/>
    <m/>
    <m/>
    <m/>
    <m/>
    <m/>
    <m/>
    <m/>
    <m/>
    <m/>
    <m/>
    <m/>
    <m/>
    <m/>
  </r>
  <r>
    <x v="0"/>
    <s v="Agent_10"/>
    <s v="Wednesday"/>
    <s v="Morning"/>
    <x v="0"/>
    <n v="53"/>
    <n v="7.21"/>
    <x v="12"/>
    <n v="0.86"/>
    <n v="3.78"/>
    <x v="0"/>
    <n v="25.82"/>
    <s v="Low"/>
    <m/>
    <m/>
    <m/>
    <m/>
    <m/>
    <m/>
    <m/>
    <m/>
    <m/>
    <m/>
    <m/>
    <m/>
    <m/>
  </r>
  <r>
    <x v="0"/>
    <s v="Agent_10"/>
    <s v="Wednesday"/>
    <s v="Afternoon"/>
    <x v="1"/>
    <n v="64"/>
    <n v="6.24"/>
    <x v="16"/>
    <n v="0.77"/>
    <n v="4.3099999999999996"/>
    <x v="0"/>
    <n v="24.36"/>
    <s v="Low"/>
    <m/>
    <m/>
    <m/>
    <m/>
    <m/>
    <m/>
    <m/>
    <m/>
    <m/>
    <m/>
    <m/>
    <m/>
    <m/>
  </r>
  <r>
    <x v="0"/>
    <s v="Agent_10"/>
    <s v="Wednesday"/>
    <s v="Evening"/>
    <x v="0"/>
    <n v="69"/>
    <n v="6.23"/>
    <x v="1"/>
    <n v="0.72"/>
    <n v="4.3899999999999997"/>
    <x v="0"/>
    <n v="24.34"/>
    <s v="Low"/>
    <m/>
    <m/>
    <m/>
    <m/>
    <m/>
    <m/>
    <m/>
    <m/>
    <m/>
    <m/>
    <m/>
    <m/>
    <m/>
  </r>
  <r>
    <x v="0"/>
    <s v="Agent_10"/>
    <s v="Thursday"/>
    <s v="Morning"/>
    <x v="1"/>
    <n v="32"/>
    <n v="5.69"/>
    <x v="26"/>
    <n v="0.89"/>
    <n v="4.53"/>
    <x v="2"/>
    <n v="25.54"/>
    <s v="Low"/>
    <m/>
    <m/>
    <m/>
    <m/>
    <m/>
    <m/>
    <m/>
    <m/>
    <m/>
    <m/>
    <m/>
    <m/>
    <m/>
  </r>
  <r>
    <x v="0"/>
    <s v="Agent_10"/>
    <s v="Thursday"/>
    <s v="Afternoon"/>
    <x v="0"/>
    <n v="41"/>
    <n v="5.34"/>
    <x v="7"/>
    <n v="0.88"/>
    <n v="4.45"/>
    <x v="1"/>
    <n v="27.01"/>
    <s v="Low"/>
    <m/>
    <m/>
    <m/>
    <m/>
    <m/>
    <m/>
    <m/>
    <m/>
    <m/>
    <m/>
    <m/>
    <m/>
    <m/>
  </r>
  <r>
    <x v="0"/>
    <s v="Agent_10"/>
    <s v="Thursday"/>
    <s v="Evening"/>
    <x v="0"/>
    <n v="45"/>
    <n v="5.55"/>
    <x v="3"/>
    <n v="0.66"/>
    <n v="4.78"/>
    <x v="1"/>
    <n v="27.32"/>
    <s v="Low"/>
    <m/>
    <m/>
    <m/>
    <m/>
    <m/>
    <m/>
    <m/>
    <m/>
    <m/>
    <m/>
    <m/>
    <m/>
    <m/>
  </r>
  <r>
    <x v="0"/>
    <s v="Agent_10"/>
    <s v="Friday"/>
    <s v="Morning"/>
    <x v="1"/>
    <n v="39"/>
    <n v="6.63"/>
    <x v="25"/>
    <n v="0.9"/>
    <n v="4.22"/>
    <x v="0"/>
    <n v="24.94"/>
    <s v="Low"/>
    <m/>
    <m/>
    <m/>
    <m/>
    <m/>
    <m/>
    <m/>
    <m/>
    <m/>
    <m/>
    <m/>
    <m/>
    <m/>
  </r>
  <r>
    <x v="0"/>
    <s v="Agent_10"/>
    <s v="Friday"/>
    <s v="Afternoon"/>
    <x v="0"/>
    <n v="44"/>
    <n v="4.92"/>
    <x v="12"/>
    <n v="0.9"/>
    <n v="4.7300000000000004"/>
    <x v="0"/>
    <n v="22.38"/>
    <s v="Low"/>
    <m/>
    <m/>
    <m/>
    <m/>
    <m/>
    <m/>
    <m/>
    <m/>
    <m/>
    <m/>
    <m/>
    <m/>
    <m/>
  </r>
  <r>
    <x v="0"/>
    <s v="Agent_10"/>
    <s v="Friday"/>
    <s v="Evening"/>
    <x v="2"/>
    <n v="68"/>
    <n v="7.05"/>
    <x v="3"/>
    <n v="0.73"/>
    <n v="4.34"/>
    <x v="2"/>
    <n v="27.58"/>
    <s v="Low"/>
    <m/>
    <m/>
    <m/>
    <m/>
    <m/>
    <m/>
    <m/>
    <m/>
    <m/>
    <m/>
    <m/>
    <m/>
    <m/>
  </r>
  <r>
    <x v="1"/>
    <s v="Agent_1"/>
    <s v="Monday"/>
    <s v="Morning"/>
    <x v="0"/>
    <n v="73"/>
    <n v="6.46"/>
    <x v="1"/>
    <n v="0.76"/>
    <n v="3.91"/>
    <x v="0"/>
    <n v="24.69"/>
    <s v="Low"/>
    <m/>
    <m/>
    <m/>
    <m/>
    <m/>
    <m/>
    <m/>
    <m/>
    <m/>
    <m/>
    <m/>
    <m/>
    <m/>
  </r>
  <r>
    <x v="1"/>
    <s v="Agent_1"/>
    <s v="Monday"/>
    <s v="Afternoon"/>
    <x v="2"/>
    <n v="54"/>
    <n v="8.7799999999999994"/>
    <x v="9"/>
    <n v="0.83"/>
    <n v="4.05"/>
    <x v="1"/>
    <n v="32.17"/>
    <s v="High"/>
    <m/>
    <m/>
    <m/>
    <m/>
    <m/>
    <m/>
    <m/>
    <m/>
    <m/>
    <m/>
    <m/>
    <m/>
    <m/>
  </r>
  <r>
    <x v="1"/>
    <s v="Agent_1"/>
    <s v="Monday"/>
    <s v="Evening"/>
    <x v="0"/>
    <n v="64"/>
    <n v="7.58"/>
    <x v="12"/>
    <n v="0.8"/>
    <n v="4.8"/>
    <x v="0"/>
    <n v="26.37"/>
    <s v="Low"/>
    <m/>
    <m/>
    <m/>
    <m/>
    <m/>
    <m/>
    <m/>
    <m/>
    <m/>
    <m/>
    <m/>
    <m/>
    <m/>
  </r>
  <r>
    <x v="1"/>
    <s v="Agent_1"/>
    <s v="Tuesday"/>
    <s v="Morning"/>
    <x v="2"/>
    <n v="58"/>
    <n v="8.57"/>
    <x v="15"/>
    <n v="0.82"/>
    <n v="4.25"/>
    <x v="0"/>
    <n v="27.86"/>
    <s v="High"/>
    <m/>
    <m/>
    <m/>
    <m/>
    <m/>
    <m/>
    <m/>
    <m/>
    <m/>
    <m/>
    <m/>
    <m/>
    <m/>
  </r>
  <r>
    <x v="1"/>
    <s v="Agent_1"/>
    <s v="Tuesday"/>
    <s v="Afternoon"/>
    <x v="0"/>
    <n v="59"/>
    <n v="5.82"/>
    <x v="9"/>
    <n v="0.79"/>
    <n v="3.64"/>
    <x v="0"/>
    <n v="23.73"/>
    <s v="Low"/>
    <m/>
    <m/>
    <m/>
    <m/>
    <m/>
    <m/>
    <m/>
    <m/>
    <m/>
    <m/>
    <m/>
    <m/>
    <m/>
  </r>
  <r>
    <x v="1"/>
    <s v="Agent_1"/>
    <s v="Tuesday"/>
    <s v="Evening"/>
    <x v="1"/>
    <n v="33"/>
    <n v="5.74"/>
    <x v="27"/>
    <n v="0.75"/>
    <n v="3.86"/>
    <x v="1"/>
    <n v="27.61"/>
    <s v="Low"/>
    <m/>
    <m/>
    <m/>
    <m/>
    <m/>
    <m/>
    <m/>
    <m/>
    <m/>
    <m/>
    <m/>
    <m/>
    <m/>
  </r>
  <r>
    <x v="1"/>
    <s v="Agent_1"/>
    <s v="Wednesday"/>
    <s v="Morning"/>
    <x v="1"/>
    <n v="44"/>
    <n v="9.0500000000000007"/>
    <x v="0"/>
    <n v="0.89"/>
    <n v="4.5199999999999996"/>
    <x v="0"/>
    <n v="28.58"/>
    <s v="High"/>
    <m/>
    <m/>
    <m/>
    <m/>
    <m/>
    <m/>
    <m/>
    <m/>
    <m/>
    <m/>
    <m/>
    <m/>
    <m/>
  </r>
  <r>
    <x v="1"/>
    <s v="Agent_1"/>
    <s v="Wednesday"/>
    <s v="Afternoon"/>
    <x v="0"/>
    <n v="75"/>
    <n v="6.5"/>
    <x v="0"/>
    <n v="0.89"/>
    <n v="4.79"/>
    <x v="2"/>
    <n v="26.75"/>
    <s v="Low"/>
    <m/>
    <m/>
    <m/>
    <m/>
    <m/>
    <m/>
    <m/>
    <m/>
    <m/>
    <m/>
    <m/>
    <m/>
    <m/>
  </r>
  <r>
    <x v="1"/>
    <s v="Agent_1"/>
    <s v="Wednesday"/>
    <s v="Evening"/>
    <x v="1"/>
    <n v="37"/>
    <n v="7.67"/>
    <x v="25"/>
    <n v="0.73"/>
    <n v="3.8"/>
    <x v="0"/>
    <n v="26.5"/>
    <s v="Low"/>
    <m/>
    <m/>
    <m/>
    <m/>
    <m/>
    <m/>
    <m/>
    <m/>
    <m/>
    <m/>
    <m/>
    <m/>
    <m/>
  </r>
  <r>
    <x v="1"/>
    <s v="Agent_1"/>
    <s v="Thursday"/>
    <s v="Morning"/>
    <x v="1"/>
    <n v="78"/>
    <n v="7.99"/>
    <x v="16"/>
    <n v="0.87"/>
    <n v="4.54"/>
    <x v="2"/>
    <n v="28.98"/>
    <s v="High"/>
    <m/>
    <m/>
    <m/>
    <m/>
    <m/>
    <m/>
    <m/>
    <m/>
    <m/>
    <m/>
    <m/>
    <m/>
    <m/>
  </r>
  <r>
    <x v="1"/>
    <s v="Agent_1"/>
    <s v="Thursday"/>
    <s v="Afternoon"/>
    <x v="1"/>
    <n v="38"/>
    <n v="7.13"/>
    <x v="23"/>
    <n v="0.85"/>
    <n v="3.7"/>
    <x v="1"/>
    <n v="29.7"/>
    <s v="High"/>
    <m/>
    <m/>
    <m/>
    <m/>
    <m/>
    <m/>
    <m/>
    <m/>
    <m/>
    <m/>
    <m/>
    <m/>
    <m/>
  </r>
  <r>
    <x v="1"/>
    <s v="Agent_1"/>
    <s v="Thursday"/>
    <s v="Evening"/>
    <x v="1"/>
    <n v="76"/>
    <n v="6.33"/>
    <x v="22"/>
    <n v="0.82"/>
    <n v="4.62"/>
    <x v="0"/>
    <n v="24.5"/>
    <s v="Low"/>
    <m/>
    <m/>
    <m/>
    <m/>
    <m/>
    <m/>
    <m/>
    <m/>
    <m/>
    <m/>
    <m/>
    <m/>
    <m/>
  </r>
  <r>
    <x v="1"/>
    <s v="Agent_1"/>
    <s v="Friday"/>
    <s v="Morning"/>
    <x v="0"/>
    <n v="57"/>
    <n v="6.9"/>
    <x v="13"/>
    <n v="0.76"/>
    <n v="3.93"/>
    <x v="1"/>
    <n v="29.35"/>
    <s v="High"/>
    <m/>
    <m/>
    <m/>
    <m/>
    <m/>
    <m/>
    <m/>
    <m/>
    <m/>
    <m/>
    <m/>
    <m/>
    <m/>
  </r>
  <r>
    <x v="1"/>
    <s v="Agent_1"/>
    <s v="Friday"/>
    <s v="Afternoon"/>
    <x v="2"/>
    <n v="63"/>
    <n v="7.47"/>
    <x v="8"/>
    <n v="0.81"/>
    <n v="3.84"/>
    <x v="2"/>
    <n v="28.2"/>
    <s v="High"/>
    <m/>
    <m/>
    <m/>
    <m/>
    <m/>
    <m/>
    <m/>
    <m/>
    <m/>
    <m/>
    <m/>
    <m/>
    <m/>
  </r>
  <r>
    <x v="1"/>
    <s v="Agent_1"/>
    <s v="Friday"/>
    <s v="Evening"/>
    <x v="0"/>
    <n v="35"/>
    <n v="8.41"/>
    <x v="7"/>
    <n v="0.77"/>
    <n v="4.21"/>
    <x v="1"/>
    <n v="31.62"/>
    <s v="High"/>
    <m/>
    <m/>
    <m/>
    <m/>
    <m/>
    <m/>
    <m/>
    <m/>
    <m/>
    <m/>
    <m/>
    <m/>
    <m/>
  </r>
  <r>
    <x v="1"/>
    <s v="Agent_2"/>
    <s v="Monday"/>
    <s v="Morning"/>
    <x v="2"/>
    <n v="53"/>
    <n v="7.54"/>
    <x v="9"/>
    <n v="0.85"/>
    <n v="4.6100000000000003"/>
    <x v="1"/>
    <n v="30.31"/>
    <s v="High"/>
    <m/>
    <m/>
    <m/>
    <m/>
    <m/>
    <m/>
    <m/>
    <m/>
    <m/>
    <m/>
    <m/>
    <m/>
    <m/>
  </r>
  <r>
    <x v="1"/>
    <s v="Agent_2"/>
    <s v="Monday"/>
    <s v="Afternoon"/>
    <x v="2"/>
    <n v="72"/>
    <n v="7.82"/>
    <x v="5"/>
    <n v="0.88"/>
    <n v="4.75"/>
    <x v="0"/>
    <n v="26.73"/>
    <s v="Low"/>
    <m/>
    <m/>
    <m/>
    <m/>
    <m/>
    <m/>
    <m/>
    <m/>
    <m/>
    <m/>
    <m/>
    <m/>
    <m/>
  </r>
  <r>
    <x v="1"/>
    <s v="Agent_2"/>
    <s v="Monday"/>
    <s v="Evening"/>
    <x v="2"/>
    <n v="71"/>
    <n v="6.87"/>
    <x v="5"/>
    <n v="0.68"/>
    <n v="4.47"/>
    <x v="0"/>
    <n v="25.3"/>
    <s v="Low"/>
    <m/>
    <m/>
    <m/>
    <m/>
    <m/>
    <m/>
    <m/>
    <m/>
    <m/>
    <m/>
    <m/>
    <m/>
    <m/>
  </r>
  <r>
    <x v="1"/>
    <s v="Agent_2"/>
    <s v="Tuesday"/>
    <s v="Morning"/>
    <x v="2"/>
    <n v="43"/>
    <n v="6.69"/>
    <x v="2"/>
    <n v="0.76"/>
    <n v="3.92"/>
    <x v="0"/>
    <n v="25.04"/>
    <s v="Low"/>
    <m/>
    <m/>
    <m/>
    <m/>
    <m/>
    <m/>
    <m/>
    <m/>
    <m/>
    <m/>
    <m/>
    <m/>
    <m/>
  </r>
  <r>
    <x v="1"/>
    <s v="Agent_2"/>
    <s v="Tuesday"/>
    <s v="Afternoon"/>
    <x v="1"/>
    <n v="63"/>
    <n v="8.36"/>
    <x v="28"/>
    <n v="0.83"/>
    <n v="4.51"/>
    <x v="0"/>
    <n v="27.54"/>
    <s v="Low"/>
    <m/>
    <m/>
    <m/>
    <m/>
    <m/>
    <m/>
    <m/>
    <m/>
    <m/>
    <m/>
    <m/>
    <m/>
    <m/>
  </r>
  <r>
    <x v="1"/>
    <s v="Agent_2"/>
    <s v="Tuesday"/>
    <s v="Evening"/>
    <x v="2"/>
    <n v="39"/>
    <n v="8.69"/>
    <x v="8"/>
    <n v="0.64"/>
    <n v="4.4800000000000004"/>
    <x v="2"/>
    <n v="30.04"/>
    <s v="High"/>
    <m/>
    <m/>
    <m/>
    <m/>
    <m/>
    <m/>
    <m/>
    <m/>
    <m/>
    <m/>
    <m/>
    <m/>
    <m/>
  </r>
  <r>
    <x v="1"/>
    <s v="Agent_2"/>
    <s v="Wednesday"/>
    <s v="Morning"/>
    <x v="1"/>
    <n v="65"/>
    <n v="7.26"/>
    <x v="8"/>
    <n v="0.8"/>
    <n v="4.42"/>
    <x v="0"/>
    <n v="25.89"/>
    <s v="Low"/>
    <m/>
    <m/>
    <m/>
    <m/>
    <m/>
    <m/>
    <m/>
    <m/>
    <m/>
    <m/>
    <m/>
    <m/>
    <m/>
  </r>
  <r>
    <x v="1"/>
    <s v="Agent_2"/>
    <s v="Wednesday"/>
    <s v="Afternoon"/>
    <x v="0"/>
    <n v="30"/>
    <n v="6.91"/>
    <x v="0"/>
    <n v="0.84"/>
    <n v="4"/>
    <x v="0"/>
    <n v="25.36"/>
    <s v="Low"/>
    <m/>
    <m/>
    <m/>
    <m/>
    <m/>
    <m/>
    <m/>
    <m/>
    <m/>
    <m/>
    <m/>
    <m/>
    <m/>
  </r>
  <r>
    <x v="1"/>
    <s v="Agent_2"/>
    <s v="Wednesday"/>
    <s v="Evening"/>
    <x v="2"/>
    <n v="76"/>
    <n v="9.41"/>
    <x v="3"/>
    <n v="0.79"/>
    <n v="4.3899999999999997"/>
    <x v="0"/>
    <n v="29.12"/>
    <s v="High"/>
    <m/>
    <m/>
    <m/>
    <m/>
    <m/>
    <m/>
    <m/>
    <m/>
    <m/>
    <m/>
    <m/>
    <m/>
    <m/>
  </r>
  <r>
    <x v="1"/>
    <s v="Agent_2"/>
    <s v="Thursday"/>
    <s v="Morning"/>
    <x v="1"/>
    <n v="58"/>
    <n v="7.59"/>
    <x v="18"/>
    <n v="0.79"/>
    <n v="4.59"/>
    <x v="2"/>
    <n v="28.38"/>
    <s v="High"/>
    <m/>
    <m/>
    <m/>
    <m/>
    <m/>
    <m/>
    <m/>
    <m/>
    <m/>
    <m/>
    <m/>
    <m/>
    <m/>
  </r>
  <r>
    <x v="1"/>
    <s v="Agent_2"/>
    <s v="Thursday"/>
    <s v="Afternoon"/>
    <x v="1"/>
    <n v="40"/>
    <n v="8.67"/>
    <x v="9"/>
    <n v="0.89"/>
    <n v="3.7"/>
    <x v="0"/>
    <n v="28"/>
    <s v="High"/>
    <m/>
    <m/>
    <m/>
    <m/>
    <m/>
    <m/>
    <m/>
    <m/>
    <m/>
    <m/>
    <m/>
    <m/>
    <m/>
  </r>
  <r>
    <x v="1"/>
    <s v="Agent_2"/>
    <s v="Thursday"/>
    <s v="Evening"/>
    <x v="2"/>
    <n v="45"/>
    <n v="7.16"/>
    <x v="22"/>
    <n v="0.68"/>
    <n v="4.4400000000000004"/>
    <x v="2"/>
    <n v="27.74"/>
    <s v="High"/>
    <m/>
    <m/>
    <m/>
    <m/>
    <m/>
    <m/>
    <m/>
    <m/>
    <m/>
    <m/>
    <m/>
    <m/>
    <m/>
  </r>
  <r>
    <x v="1"/>
    <s v="Agent_2"/>
    <s v="Friday"/>
    <s v="Morning"/>
    <x v="1"/>
    <n v="78"/>
    <n v="9.0500000000000007"/>
    <x v="28"/>
    <n v="0.81"/>
    <n v="4.62"/>
    <x v="0"/>
    <n v="28.58"/>
    <s v="High"/>
    <m/>
    <m/>
    <m/>
    <m/>
    <m/>
    <m/>
    <m/>
    <m/>
    <m/>
    <m/>
    <m/>
    <m/>
    <m/>
  </r>
  <r>
    <x v="1"/>
    <s v="Agent_2"/>
    <s v="Friday"/>
    <s v="Afternoon"/>
    <x v="2"/>
    <n v="75"/>
    <n v="7.34"/>
    <x v="7"/>
    <n v="0.75"/>
    <n v="4.54"/>
    <x v="0"/>
    <n v="26.01"/>
    <s v="Low"/>
    <m/>
    <m/>
    <m/>
    <m/>
    <m/>
    <m/>
    <m/>
    <m/>
    <m/>
    <m/>
    <m/>
    <m/>
    <m/>
  </r>
  <r>
    <x v="1"/>
    <s v="Agent_2"/>
    <s v="Friday"/>
    <s v="Evening"/>
    <x v="2"/>
    <n v="32"/>
    <n v="6.31"/>
    <x v="5"/>
    <n v="0.72"/>
    <n v="3.5"/>
    <x v="0"/>
    <n v="24.46"/>
    <s v="Low"/>
    <m/>
    <m/>
    <m/>
    <m/>
    <m/>
    <m/>
    <m/>
    <m/>
    <m/>
    <m/>
    <m/>
    <m/>
    <m/>
  </r>
  <r>
    <x v="1"/>
    <s v="Agent_3"/>
    <s v="Monday"/>
    <s v="Morning"/>
    <x v="0"/>
    <n v="49"/>
    <n v="6.14"/>
    <x v="3"/>
    <n v="0.76"/>
    <n v="4.26"/>
    <x v="0"/>
    <n v="24.21"/>
    <s v="Low"/>
    <m/>
    <m/>
    <m/>
    <m/>
    <m/>
    <m/>
    <m/>
    <m/>
    <m/>
    <m/>
    <m/>
    <m/>
    <m/>
  </r>
  <r>
    <x v="1"/>
    <s v="Agent_3"/>
    <s v="Monday"/>
    <s v="Afternoon"/>
    <x v="2"/>
    <n v="40"/>
    <n v="7.18"/>
    <x v="6"/>
    <n v="0.77"/>
    <n v="4.0999999999999996"/>
    <x v="2"/>
    <n v="27.77"/>
    <s v="High"/>
    <m/>
    <m/>
    <m/>
    <m/>
    <m/>
    <m/>
    <m/>
    <m/>
    <m/>
    <m/>
    <m/>
    <m/>
    <m/>
  </r>
  <r>
    <x v="1"/>
    <s v="Agent_3"/>
    <s v="Monday"/>
    <s v="Evening"/>
    <x v="0"/>
    <n v="76"/>
    <n v="5.92"/>
    <x v="1"/>
    <n v="0.82"/>
    <n v="4.51"/>
    <x v="0"/>
    <n v="23.88"/>
    <s v="Low"/>
    <m/>
    <m/>
    <m/>
    <m/>
    <m/>
    <m/>
    <m/>
    <m/>
    <m/>
    <m/>
    <m/>
    <m/>
    <m/>
  </r>
  <r>
    <x v="1"/>
    <s v="Agent_3"/>
    <s v="Tuesday"/>
    <s v="Morning"/>
    <x v="0"/>
    <n v="53"/>
    <n v="8.26"/>
    <x v="5"/>
    <n v="0.77"/>
    <n v="4.24"/>
    <x v="0"/>
    <n v="27.39"/>
    <s v="Low"/>
    <m/>
    <m/>
    <m/>
    <m/>
    <m/>
    <m/>
    <m/>
    <m/>
    <m/>
    <m/>
    <m/>
    <m/>
    <m/>
  </r>
  <r>
    <x v="1"/>
    <s v="Agent_3"/>
    <s v="Tuesday"/>
    <s v="Afternoon"/>
    <x v="0"/>
    <n v="57"/>
    <n v="8.02"/>
    <x v="15"/>
    <n v="0.8"/>
    <n v="4.17"/>
    <x v="0"/>
    <n v="27.03"/>
    <s v="Low"/>
    <m/>
    <m/>
    <m/>
    <m/>
    <m/>
    <m/>
    <m/>
    <m/>
    <m/>
    <m/>
    <m/>
    <m/>
    <m/>
  </r>
  <r>
    <x v="1"/>
    <s v="Agent_3"/>
    <s v="Tuesday"/>
    <s v="Evening"/>
    <x v="0"/>
    <n v="62"/>
    <n v="9.2799999999999994"/>
    <x v="13"/>
    <n v="0.69"/>
    <n v="3.92"/>
    <x v="3"/>
    <n v="34.92"/>
    <s v="High"/>
    <m/>
    <m/>
    <m/>
    <m/>
    <m/>
    <m/>
    <m/>
    <m/>
    <m/>
    <m/>
    <m/>
    <m/>
    <m/>
  </r>
  <r>
    <x v="1"/>
    <s v="Agent_3"/>
    <s v="Wednesday"/>
    <s v="Morning"/>
    <x v="1"/>
    <n v="79"/>
    <n v="7.85"/>
    <x v="3"/>
    <n v="0.88"/>
    <n v="4.2699999999999996"/>
    <x v="2"/>
    <n v="28.78"/>
    <s v="High"/>
    <m/>
    <m/>
    <m/>
    <m/>
    <m/>
    <m/>
    <m/>
    <m/>
    <m/>
    <m/>
    <m/>
    <m/>
    <m/>
  </r>
  <r>
    <x v="1"/>
    <s v="Agent_3"/>
    <s v="Wednesday"/>
    <s v="Afternoon"/>
    <x v="0"/>
    <n v="70"/>
    <n v="7.63"/>
    <x v="1"/>
    <n v="0.88"/>
    <n v="4.43"/>
    <x v="1"/>
    <n v="30.44"/>
    <s v="High"/>
    <m/>
    <m/>
    <m/>
    <m/>
    <m/>
    <m/>
    <m/>
    <m/>
    <m/>
    <m/>
    <m/>
    <m/>
    <m/>
  </r>
  <r>
    <x v="1"/>
    <s v="Agent_3"/>
    <s v="Wednesday"/>
    <s v="Evening"/>
    <x v="0"/>
    <n v="36"/>
    <n v="8.15"/>
    <x v="0"/>
    <n v="0.8"/>
    <n v="4.13"/>
    <x v="0"/>
    <n v="27.22"/>
    <s v="Low"/>
    <m/>
    <m/>
    <m/>
    <m/>
    <m/>
    <m/>
    <m/>
    <m/>
    <m/>
    <m/>
    <m/>
    <m/>
    <m/>
  </r>
  <r>
    <x v="1"/>
    <s v="Agent_3"/>
    <s v="Thursday"/>
    <s v="Morning"/>
    <x v="1"/>
    <n v="43"/>
    <n v="9.48"/>
    <x v="8"/>
    <n v="0.76"/>
    <n v="3.82"/>
    <x v="0"/>
    <n v="29.22"/>
    <s v="High"/>
    <m/>
    <m/>
    <m/>
    <m/>
    <m/>
    <m/>
    <m/>
    <m/>
    <m/>
    <m/>
    <m/>
    <m/>
    <m/>
  </r>
  <r>
    <x v="1"/>
    <s v="Agent_3"/>
    <s v="Thursday"/>
    <s v="Afternoon"/>
    <x v="2"/>
    <n v="48"/>
    <n v="8.02"/>
    <x v="1"/>
    <n v="0.82"/>
    <n v="4.22"/>
    <x v="2"/>
    <n v="29.03"/>
    <s v="High"/>
    <m/>
    <m/>
    <m/>
    <m/>
    <m/>
    <m/>
    <m/>
    <m/>
    <m/>
    <m/>
    <m/>
    <m/>
    <m/>
  </r>
  <r>
    <x v="1"/>
    <s v="Agent_3"/>
    <s v="Thursday"/>
    <s v="Evening"/>
    <x v="1"/>
    <n v="61"/>
    <n v="6.93"/>
    <x v="14"/>
    <n v="0.72"/>
    <n v="3.61"/>
    <x v="0"/>
    <n v="25.4"/>
    <s v="Low"/>
    <m/>
    <m/>
    <m/>
    <m/>
    <m/>
    <m/>
    <m/>
    <m/>
    <m/>
    <m/>
    <m/>
    <m/>
    <m/>
  </r>
  <r>
    <x v="1"/>
    <s v="Agent_3"/>
    <s v="Friday"/>
    <s v="Morning"/>
    <x v="1"/>
    <n v="44"/>
    <n v="7.24"/>
    <x v="21"/>
    <n v="0.86"/>
    <n v="4.47"/>
    <x v="0"/>
    <n v="25.86"/>
    <s v="Low"/>
    <m/>
    <m/>
    <m/>
    <m/>
    <m/>
    <m/>
    <m/>
    <m/>
    <m/>
    <m/>
    <m/>
    <m/>
    <m/>
  </r>
  <r>
    <x v="1"/>
    <s v="Agent_3"/>
    <s v="Friday"/>
    <s v="Afternoon"/>
    <x v="0"/>
    <n v="73"/>
    <n v="5.83"/>
    <x v="9"/>
    <n v="0.83"/>
    <n v="4.21"/>
    <x v="0"/>
    <n v="23.74"/>
    <s v="Low"/>
    <m/>
    <m/>
    <m/>
    <m/>
    <m/>
    <m/>
    <m/>
    <m/>
    <m/>
    <m/>
    <m/>
    <m/>
    <m/>
  </r>
  <r>
    <x v="1"/>
    <s v="Agent_3"/>
    <s v="Friday"/>
    <s v="Evening"/>
    <x v="0"/>
    <n v="63"/>
    <n v="8.58"/>
    <x v="12"/>
    <n v="0.71"/>
    <n v="3.86"/>
    <x v="0"/>
    <n v="27.87"/>
    <s v="High"/>
    <m/>
    <m/>
    <m/>
    <m/>
    <m/>
    <m/>
    <m/>
    <m/>
    <m/>
    <m/>
    <m/>
    <m/>
    <m/>
  </r>
  <r>
    <x v="1"/>
    <s v="Agent_4"/>
    <s v="Monday"/>
    <s v="Morning"/>
    <x v="2"/>
    <n v="41"/>
    <n v="7.46"/>
    <x v="8"/>
    <n v="0.82"/>
    <n v="4.59"/>
    <x v="0"/>
    <n v="26.19"/>
    <s v="Low"/>
    <m/>
    <m/>
    <m/>
    <m/>
    <m/>
    <m/>
    <m/>
    <m/>
    <m/>
    <m/>
    <m/>
    <m/>
    <m/>
  </r>
  <r>
    <x v="1"/>
    <s v="Agent_4"/>
    <s v="Monday"/>
    <s v="Afternoon"/>
    <x v="2"/>
    <n v="65"/>
    <n v="7.82"/>
    <x v="3"/>
    <n v="0.79"/>
    <n v="4.63"/>
    <x v="0"/>
    <n v="26.73"/>
    <s v="Low"/>
    <m/>
    <m/>
    <m/>
    <m/>
    <m/>
    <m/>
    <m/>
    <m/>
    <m/>
    <m/>
    <m/>
    <m/>
    <m/>
  </r>
  <r>
    <x v="1"/>
    <s v="Agent_4"/>
    <s v="Monday"/>
    <s v="Evening"/>
    <x v="0"/>
    <n v="54"/>
    <n v="7.21"/>
    <x v="1"/>
    <n v="0.62"/>
    <n v="4.3499999999999996"/>
    <x v="0"/>
    <n v="25.82"/>
    <s v="Low"/>
    <m/>
    <m/>
    <m/>
    <m/>
    <m/>
    <m/>
    <m/>
    <m/>
    <m/>
    <m/>
    <m/>
    <m/>
    <m/>
  </r>
  <r>
    <x v="1"/>
    <s v="Agent_4"/>
    <s v="Tuesday"/>
    <s v="Morning"/>
    <x v="0"/>
    <n v="64"/>
    <n v="6.21"/>
    <x v="9"/>
    <n v="0.77"/>
    <n v="4.76"/>
    <x v="0"/>
    <n v="24.32"/>
    <s v="Low"/>
    <m/>
    <m/>
    <m/>
    <m/>
    <m/>
    <m/>
    <m/>
    <m/>
    <m/>
    <m/>
    <m/>
    <m/>
    <m/>
  </r>
  <r>
    <x v="1"/>
    <s v="Agent_4"/>
    <s v="Tuesday"/>
    <s v="Afternoon"/>
    <x v="1"/>
    <n v="32"/>
    <n v="8.66"/>
    <x v="19"/>
    <n v="0.8"/>
    <n v="4.08"/>
    <x v="2"/>
    <n v="29.99"/>
    <s v="High"/>
    <m/>
    <m/>
    <m/>
    <m/>
    <m/>
    <m/>
    <m/>
    <m/>
    <m/>
    <m/>
    <m/>
    <m/>
    <m/>
  </r>
  <r>
    <x v="1"/>
    <s v="Agent_4"/>
    <s v="Tuesday"/>
    <s v="Evening"/>
    <x v="1"/>
    <n v="34"/>
    <n v="8.15"/>
    <x v="27"/>
    <n v="0.64"/>
    <n v="3.72"/>
    <x v="0"/>
    <n v="27.22"/>
    <s v="Low"/>
    <m/>
    <m/>
    <m/>
    <m/>
    <m/>
    <m/>
    <m/>
    <m/>
    <m/>
    <m/>
    <m/>
    <m/>
    <m/>
  </r>
  <r>
    <x v="1"/>
    <s v="Agent_4"/>
    <s v="Wednesday"/>
    <s v="Morning"/>
    <x v="2"/>
    <n v="66"/>
    <n v="6.11"/>
    <x v="7"/>
    <n v="0.87"/>
    <n v="4.42"/>
    <x v="0"/>
    <n v="24.16"/>
    <s v="Low"/>
    <m/>
    <m/>
    <m/>
    <m/>
    <m/>
    <m/>
    <m/>
    <m/>
    <m/>
    <m/>
    <m/>
    <m/>
    <m/>
  </r>
  <r>
    <x v="1"/>
    <s v="Agent_4"/>
    <s v="Wednesday"/>
    <s v="Afternoon"/>
    <x v="2"/>
    <n v="35"/>
    <n v="7.24"/>
    <x v="22"/>
    <n v="0.76"/>
    <n v="4.1900000000000004"/>
    <x v="1"/>
    <n v="29.86"/>
    <s v="High"/>
    <m/>
    <m/>
    <m/>
    <m/>
    <m/>
    <m/>
    <m/>
    <m/>
    <m/>
    <m/>
    <m/>
    <m/>
    <m/>
  </r>
  <r>
    <x v="1"/>
    <s v="Agent_4"/>
    <s v="Wednesday"/>
    <s v="Evening"/>
    <x v="1"/>
    <n v="64"/>
    <n v="7.3"/>
    <x v="19"/>
    <n v="0.83"/>
    <n v="3.91"/>
    <x v="0"/>
    <n v="25.95"/>
    <s v="Low"/>
    <m/>
    <m/>
    <m/>
    <m/>
    <m/>
    <m/>
    <m/>
    <m/>
    <m/>
    <m/>
    <m/>
    <m/>
    <m/>
  </r>
  <r>
    <x v="1"/>
    <s v="Agent_4"/>
    <s v="Thursday"/>
    <s v="Morning"/>
    <x v="1"/>
    <n v="71"/>
    <n v="7.02"/>
    <x v="20"/>
    <n v="0.75"/>
    <n v="3.92"/>
    <x v="3"/>
    <n v="31.53"/>
    <s v="High"/>
    <m/>
    <m/>
    <m/>
    <m/>
    <m/>
    <m/>
    <m/>
    <m/>
    <m/>
    <m/>
    <m/>
    <m/>
    <m/>
  </r>
  <r>
    <x v="1"/>
    <s v="Agent_4"/>
    <s v="Thursday"/>
    <s v="Afternoon"/>
    <x v="0"/>
    <n v="76"/>
    <n v="5.04"/>
    <x v="7"/>
    <n v="0.8"/>
    <n v="4.1900000000000004"/>
    <x v="0"/>
    <n v="22.56"/>
    <s v="Low"/>
    <m/>
    <m/>
    <m/>
    <m/>
    <m/>
    <m/>
    <m/>
    <m/>
    <m/>
    <m/>
    <m/>
    <m/>
    <m/>
  </r>
  <r>
    <x v="1"/>
    <s v="Agent_4"/>
    <s v="Thursday"/>
    <s v="Evening"/>
    <x v="1"/>
    <n v="45"/>
    <n v="7.56"/>
    <x v="7"/>
    <n v="0.65"/>
    <n v="4.45"/>
    <x v="0"/>
    <n v="26.34"/>
    <s v="Low"/>
    <m/>
    <m/>
    <m/>
    <m/>
    <m/>
    <m/>
    <m/>
    <m/>
    <m/>
    <m/>
    <m/>
    <m/>
    <m/>
  </r>
  <r>
    <x v="1"/>
    <s v="Agent_4"/>
    <s v="Friday"/>
    <s v="Morning"/>
    <x v="1"/>
    <n v="76"/>
    <n v="7.62"/>
    <x v="7"/>
    <n v="0.85"/>
    <n v="4.59"/>
    <x v="1"/>
    <n v="30.43"/>
    <s v="High"/>
    <m/>
    <m/>
    <m/>
    <m/>
    <m/>
    <m/>
    <m/>
    <m/>
    <m/>
    <m/>
    <m/>
    <m/>
    <m/>
  </r>
  <r>
    <x v="1"/>
    <s v="Agent_4"/>
    <s v="Friday"/>
    <s v="Afternoon"/>
    <x v="0"/>
    <n v="79"/>
    <n v="8.17"/>
    <x v="13"/>
    <n v="0.87"/>
    <n v="3.65"/>
    <x v="2"/>
    <n v="29.26"/>
    <s v="High"/>
    <m/>
    <m/>
    <m/>
    <m/>
    <m/>
    <m/>
    <m/>
    <m/>
    <m/>
    <m/>
    <m/>
    <m/>
    <m/>
  </r>
  <r>
    <x v="1"/>
    <s v="Agent_4"/>
    <s v="Friday"/>
    <s v="Evening"/>
    <x v="2"/>
    <n v="30"/>
    <n v="6.98"/>
    <x v="2"/>
    <n v="0.76"/>
    <n v="4.01"/>
    <x v="2"/>
    <n v="27.47"/>
    <s v="Low"/>
    <m/>
    <m/>
    <m/>
    <m/>
    <m/>
    <m/>
    <m/>
    <m/>
    <m/>
    <m/>
    <m/>
    <m/>
    <m/>
  </r>
  <r>
    <x v="1"/>
    <s v="Agent_5"/>
    <s v="Monday"/>
    <s v="Morning"/>
    <x v="1"/>
    <n v="57"/>
    <n v="7.84"/>
    <x v="13"/>
    <n v="0.88"/>
    <n v="4.79"/>
    <x v="2"/>
    <n v="28.76"/>
    <s v="High"/>
    <m/>
    <m/>
    <m/>
    <m/>
    <m/>
    <m/>
    <m/>
    <m/>
    <m/>
    <m/>
    <m/>
    <m/>
    <m/>
  </r>
  <r>
    <x v="1"/>
    <s v="Agent_5"/>
    <s v="Monday"/>
    <s v="Afternoon"/>
    <x v="1"/>
    <n v="60"/>
    <n v="6.39"/>
    <x v="27"/>
    <n v="0.88"/>
    <n v="4.03"/>
    <x v="0"/>
    <n v="24.58"/>
    <s v="Low"/>
    <m/>
    <m/>
    <m/>
    <m/>
    <m/>
    <m/>
    <m/>
    <m/>
    <m/>
    <m/>
    <m/>
    <m/>
    <m/>
  </r>
  <r>
    <x v="1"/>
    <s v="Agent_5"/>
    <s v="Monday"/>
    <s v="Evening"/>
    <x v="0"/>
    <n v="35"/>
    <n v="8.2899999999999991"/>
    <x v="8"/>
    <n v="0.67"/>
    <n v="4.34"/>
    <x v="0"/>
    <n v="27.44"/>
    <s v="Low"/>
    <m/>
    <m/>
    <m/>
    <m/>
    <m/>
    <m/>
    <m/>
    <m/>
    <m/>
    <m/>
    <m/>
    <m/>
    <m/>
  </r>
  <r>
    <x v="1"/>
    <s v="Agent_5"/>
    <s v="Tuesday"/>
    <s v="Morning"/>
    <x v="0"/>
    <n v="36"/>
    <n v="7.11"/>
    <x v="7"/>
    <n v="0.81"/>
    <n v="4.21"/>
    <x v="0"/>
    <n v="25.66"/>
    <s v="Low"/>
    <m/>
    <m/>
    <m/>
    <m/>
    <m/>
    <m/>
    <m/>
    <m/>
    <m/>
    <m/>
    <m/>
    <m/>
    <m/>
  </r>
  <r>
    <x v="1"/>
    <s v="Agent_5"/>
    <s v="Tuesday"/>
    <s v="Afternoon"/>
    <x v="0"/>
    <n v="64"/>
    <n v="9.14"/>
    <x v="0"/>
    <n v="0.82"/>
    <n v="3.99"/>
    <x v="1"/>
    <n v="32.71"/>
    <s v="High"/>
    <m/>
    <m/>
    <m/>
    <m/>
    <m/>
    <m/>
    <m/>
    <m/>
    <m/>
    <m/>
    <m/>
    <m/>
    <m/>
  </r>
  <r>
    <x v="1"/>
    <s v="Agent_5"/>
    <s v="Tuesday"/>
    <s v="Evening"/>
    <x v="0"/>
    <n v="35"/>
    <n v="8.51"/>
    <x v="12"/>
    <n v="0.8"/>
    <n v="3.64"/>
    <x v="0"/>
    <n v="27.76"/>
    <s v="High"/>
    <m/>
    <m/>
    <m/>
    <m/>
    <m/>
    <m/>
    <m/>
    <m/>
    <m/>
    <m/>
    <m/>
    <m/>
    <m/>
  </r>
  <r>
    <x v="1"/>
    <s v="Agent_5"/>
    <s v="Wednesday"/>
    <s v="Morning"/>
    <x v="0"/>
    <n v="44"/>
    <n v="9.83"/>
    <x v="9"/>
    <n v="0.87"/>
    <n v="4.43"/>
    <x v="3"/>
    <n v="35.75"/>
    <s v="High"/>
    <m/>
    <m/>
    <m/>
    <m/>
    <m/>
    <m/>
    <m/>
    <m/>
    <m/>
    <m/>
    <m/>
    <m/>
    <m/>
  </r>
  <r>
    <x v="1"/>
    <s v="Agent_5"/>
    <s v="Wednesday"/>
    <s v="Afternoon"/>
    <x v="1"/>
    <n v="52"/>
    <n v="8.23"/>
    <x v="19"/>
    <n v="0.88"/>
    <n v="3.59"/>
    <x v="3"/>
    <n v="33.340000000000003"/>
    <s v="High"/>
    <m/>
    <m/>
    <m/>
    <m/>
    <m/>
    <m/>
    <m/>
    <m/>
    <m/>
    <m/>
    <m/>
    <m/>
    <m/>
  </r>
  <r>
    <x v="1"/>
    <s v="Agent_5"/>
    <s v="Wednesday"/>
    <s v="Evening"/>
    <x v="0"/>
    <n v="44"/>
    <n v="7.4"/>
    <x v="2"/>
    <n v="0.64"/>
    <n v="4.3"/>
    <x v="0"/>
    <n v="26.1"/>
    <s v="Low"/>
    <m/>
    <m/>
    <m/>
    <m/>
    <m/>
    <m/>
    <m/>
    <m/>
    <m/>
    <m/>
    <m/>
    <m/>
    <m/>
  </r>
  <r>
    <x v="1"/>
    <s v="Agent_5"/>
    <s v="Thursday"/>
    <s v="Morning"/>
    <x v="0"/>
    <n v="58"/>
    <n v="6.09"/>
    <x v="9"/>
    <n v="0.83"/>
    <n v="3.9"/>
    <x v="2"/>
    <n v="26.14"/>
    <s v="Low"/>
    <m/>
    <m/>
    <m/>
    <m/>
    <m/>
    <m/>
    <m/>
    <m/>
    <m/>
    <m/>
    <m/>
    <m/>
    <m/>
  </r>
  <r>
    <x v="1"/>
    <s v="Agent_5"/>
    <s v="Thursday"/>
    <s v="Afternoon"/>
    <x v="2"/>
    <n v="78"/>
    <n v="6.44"/>
    <x v="13"/>
    <n v="0.87"/>
    <n v="3.74"/>
    <x v="0"/>
    <n v="24.66"/>
    <s v="Low"/>
    <m/>
    <m/>
    <m/>
    <m/>
    <m/>
    <m/>
    <m/>
    <m/>
    <m/>
    <m/>
    <m/>
    <m/>
    <m/>
  </r>
  <r>
    <x v="1"/>
    <s v="Agent_5"/>
    <s v="Thursday"/>
    <s v="Evening"/>
    <x v="2"/>
    <n v="71"/>
    <n v="7.56"/>
    <x v="12"/>
    <n v="0.71"/>
    <n v="3.61"/>
    <x v="1"/>
    <n v="30.34"/>
    <s v="High"/>
    <m/>
    <m/>
    <m/>
    <m/>
    <m/>
    <m/>
    <m/>
    <m/>
    <m/>
    <m/>
    <m/>
    <m/>
    <m/>
  </r>
  <r>
    <x v="1"/>
    <s v="Agent_5"/>
    <s v="Friday"/>
    <s v="Morning"/>
    <x v="0"/>
    <n v="74"/>
    <n v="7.97"/>
    <x v="0"/>
    <n v="0.87"/>
    <n v="4.6500000000000004"/>
    <x v="0"/>
    <n v="26.96"/>
    <s v="Low"/>
    <m/>
    <m/>
    <m/>
    <m/>
    <m/>
    <m/>
    <m/>
    <m/>
    <m/>
    <m/>
    <m/>
    <m/>
    <m/>
  </r>
  <r>
    <x v="1"/>
    <s v="Agent_5"/>
    <s v="Friday"/>
    <s v="Afternoon"/>
    <x v="1"/>
    <n v="39"/>
    <n v="7.64"/>
    <x v="7"/>
    <n v="0.8"/>
    <n v="4.68"/>
    <x v="2"/>
    <n v="28.46"/>
    <s v="High"/>
    <m/>
    <m/>
    <m/>
    <m/>
    <m/>
    <m/>
    <m/>
    <m/>
    <m/>
    <m/>
    <m/>
    <m/>
    <m/>
  </r>
  <r>
    <x v="1"/>
    <s v="Agent_5"/>
    <s v="Friday"/>
    <s v="Evening"/>
    <x v="0"/>
    <n v="56"/>
    <n v="6.78"/>
    <x v="13"/>
    <n v="0.71"/>
    <n v="4.37"/>
    <x v="0"/>
    <n v="25.17"/>
    <s v="Low"/>
    <m/>
    <m/>
    <m/>
    <m/>
    <m/>
    <m/>
    <m/>
    <m/>
    <m/>
    <m/>
    <m/>
    <m/>
    <m/>
  </r>
  <r>
    <x v="1"/>
    <s v="Agent_6"/>
    <s v="Monday"/>
    <s v="Morning"/>
    <x v="0"/>
    <n v="62"/>
    <n v="8.39"/>
    <x v="3"/>
    <n v="0.77"/>
    <n v="3.81"/>
    <x v="1"/>
    <n v="31.58"/>
    <s v="High"/>
    <m/>
    <m/>
    <m/>
    <m/>
    <m/>
    <m/>
    <m/>
    <m/>
    <m/>
    <m/>
    <m/>
    <m/>
    <m/>
  </r>
  <r>
    <x v="1"/>
    <s v="Agent_6"/>
    <s v="Monday"/>
    <s v="Afternoon"/>
    <x v="0"/>
    <n v="50"/>
    <n v="8.7200000000000006"/>
    <x v="7"/>
    <n v="0.78"/>
    <n v="4.01"/>
    <x v="0"/>
    <n v="28.08"/>
    <s v="High"/>
    <m/>
    <m/>
    <m/>
    <m/>
    <m/>
    <m/>
    <m/>
    <m/>
    <m/>
    <m/>
    <m/>
    <m/>
    <m/>
  </r>
  <r>
    <x v="1"/>
    <s v="Agent_6"/>
    <s v="Monday"/>
    <s v="Evening"/>
    <x v="0"/>
    <n v="31"/>
    <n v="9.1199999999999992"/>
    <x v="22"/>
    <n v="0.75"/>
    <n v="4.38"/>
    <x v="0"/>
    <n v="28.68"/>
    <s v="High"/>
    <m/>
    <m/>
    <m/>
    <m/>
    <m/>
    <m/>
    <m/>
    <m/>
    <m/>
    <m/>
    <m/>
    <m/>
    <m/>
  </r>
  <r>
    <x v="1"/>
    <s v="Agent_6"/>
    <s v="Tuesday"/>
    <s v="Morning"/>
    <x v="0"/>
    <n v="70"/>
    <n v="8.07"/>
    <x v="22"/>
    <n v="0.76"/>
    <n v="3.61"/>
    <x v="1"/>
    <n v="31.1"/>
    <s v="High"/>
    <m/>
    <m/>
    <m/>
    <m/>
    <m/>
    <m/>
    <m/>
    <m/>
    <m/>
    <m/>
    <m/>
    <m/>
    <m/>
  </r>
  <r>
    <x v="1"/>
    <s v="Agent_6"/>
    <s v="Tuesday"/>
    <s v="Afternoon"/>
    <x v="1"/>
    <n v="37"/>
    <n v="9.1300000000000008"/>
    <x v="12"/>
    <n v="0.8"/>
    <n v="4.3"/>
    <x v="0"/>
    <n v="28.7"/>
    <s v="High"/>
    <m/>
    <m/>
    <m/>
    <m/>
    <m/>
    <m/>
    <m/>
    <m/>
    <m/>
    <m/>
    <m/>
    <m/>
    <m/>
  </r>
  <r>
    <x v="1"/>
    <s v="Agent_6"/>
    <s v="Tuesday"/>
    <s v="Evening"/>
    <x v="2"/>
    <n v="34"/>
    <n v="7.7"/>
    <x v="22"/>
    <n v="0.75"/>
    <n v="4.38"/>
    <x v="0"/>
    <n v="26.55"/>
    <s v="Low"/>
    <m/>
    <m/>
    <m/>
    <m/>
    <m/>
    <m/>
    <m/>
    <m/>
    <m/>
    <m/>
    <m/>
    <m/>
    <m/>
  </r>
  <r>
    <x v="1"/>
    <s v="Agent_6"/>
    <s v="Wednesday"/>
    <s v="Morning"/>
    <x v="0"/>
    <n v="51"/>
    <n v="6.9"/>
    <x v="1"/>
    <n v="0.9"/>
    <n v="4.3600000000000003"/>
    <x v="0"/>
    <n v="25.35"/>
    <s v="Low"/>
    <m/>
    <m/>
    <m/>
    <m/>
    <m/>
    <m/>
    <m/>
    <m/>
    <m/>
    <m/>
    <m/>
    <m/>
    <m/>
  </r>
  <r>
    <x v="1"/>
    <s v="Agent_6"/>
    <s v="Wednesday"/>
    <s v="Afternoon"/>
    <x v="2"/>
    <n v="59"/>
    <n v="8.3699999999999992"/>
    <x v="4"/>
    <n v="0.89"/>
    <n v="4.33"/>
    <x v="2"/>
    <n v="29.56"/>
    <s v="High"/>
    <m/>
    <m/>
    <m/>
    <m/>
    <m/>
    <m/>
    <m/>
    <m/>
    <m/>
    <m/>
    <m/>
    <m/>
    <m/>
  </r>
  <r>
    <x v="1"/>
    <s v="Agent_6"/>
    <s v="Wednesday"/>
    <s v="Evening"/>
    <x v="1"/>
    <n v="71"/>
    <n v="5.7"/>
    <x v="8"/>
    <n v="0.71"/>
    <n v="4.4800000000000004"/>
    <x v="0"/>
    <n v="23.55"/>
    <s v="Low"/>
    <m/>
    <m/>
    <m/>
    <m/>
    <m/>
    <m/>
    <m/>
    <m/>
    <m/>
    <m/>
    <m/>
    <m/>
    <m/>
  </r>
  <r>
    <x v="1"/>
    <s v="Agent_6"/>
    <s v="Thursday"/>
    <s v="Morning"/>
    <x v="0"/>
    <n v="49"/>
    <n v="5.16"/>
    <x v="5"/>
    <n v="0.9"/>
    <n v="3.53"/>
    <x v="2"/>
    <n v="24.74"/>
    <s v="Low"/>
    <m/>
    <m/>
    <m/>
    <m/>
    <m/>
    <m/>
    <m/>
    <m/>
    <m/>
    <m/>
    <m/>
    <m/>
    <m/>
  </r>
  <r>
    <x v="1"/>
    <s v="Agent_6"/>
    <s v="Thursday"/>
    <s v="Afternoon"/>
    <x v="2"/>
    <n v="30"/>
    <n v="7"/>
    <x v="13"/>
    <n v="0.83"/>
    <n v="4.3099999999999996"/>
    <x v="0"/>
    <n v="25.5"/>
    <s v="Low"/>
    <m/>
    <m/>
    <m/>
    <m/>
    <m/>
    <m/>
    <m/>
    <m/>
    <m/>
    <m/>
    <m/>
    <m/>
    <m/>
  </r>
  <r>
    <x v="1"/>
    <s v="Agent_6"/>
    <s v="Thursday"/>
    <s v="Evening"/>
    <x v="2"/>
    <n v="62"/>
    <n v="7.66"/>
    <x v="5"/>
    <n v="0.62"/>
    <n v="3.65"/>
    <x v="0"/>
    <n v="26.49"/>
    <s v="Low"/>
    <m/>
    <m/>
    <m/>
    <m/>
    <m/>
    <m/>
    <m/>
    <m/>
    <m/>
    <m/>
    <m/>
    <m/>
    <m/>
  </r>
  <r>
    <x v="1"/>
    <s v="Agent_6"/>
    <s v="Friday"/>
    <s v="Morning"/>
    <x v="0"/>
    <n v="70"/>
    <n v="9.9700000000000006"/>
    <x v="4"/>
    <n v="0.89"/>
    <n v="4.22"/>
    <x v="0"/>
    <n v="29.96"/>
    <s v="High"/>
    <m/>
    <m/>
    <m/>
    <m/>
    <m/>
    <m/>
    <m/>
    <m/>
    <m/>
    <m/>
    <m/>
    <m/>
    <m/>
  </r>
  <r>
    <x v="1"/>
    <s v="Agent_6"/>
    <s v="Friday"/>
    <s v="Afternoon"/>
    <x v="0"/>
    <n v="52"/>
    <n v="7.95"/>
    <x v="7"/>
    <n v="0.83"/>
    <n v="4.01"/>
    <x v="0"/>
    <n v="26.92"/>
    <s v="Low"/>
    <m/>
    <m/>
    <m/>
    <m/>
    <m/>
    <m/>
    <m/>
    <m/>
    <m/>
    <m/>
    <m/>
    <m/>
    <m/>
  </r>
  <r>
    <x v="1"/>
    <s v="Agent_6"/>
    <s v="Friday"/>
    <s v="Evening"/>
    <x v="0"/>
    <n v="67"/>
    <n v="6.97"/>
    <x v="13"/>
    <n v="0.7"/>
    <n v="4.6399999999999997"/>
    <x v="1"/>
    <n v="29.46"/>
    <s v="High"/>
    <m/>
    <m/>
    <m/>
    <m/>
    <m/>
    <m/>
    <m/>
    <m/>
    <m/>
    <m/>
    <m/>
    <m/>
    <m/>
  </r>
  <r>
    <x v="1"/>
    <s v="Agent_7"/>
    <s v="Monday"/>
    <s v="Morning"/>
    <x v="2"/>
    <n v="45"/>
    <n v="8.08"/>
    <x v="22"/>
    <n v="0.75"/>
    <n v="3.7"/>
    <x v="0"/>
    <n v="27.12"/>
    <s v="Low"/>
    <m/>
    <m/>
    <m/>
    <m/>
    <m/>
    <m/>
    <m/>
    <m/>
    <m/>
    <m/>
    <m/>
    <m/>
    <m/>
  </r>
  <r>
    <x v="1"/>
    <s v="Agent_7"/>
    <s v="Monday"/>
    <s v="Afternoon"/>
    <x v="2"/>
    <n v="47"/>
    <n v="6.98"/>
    <x v="0"/>
    <n v="0.87"/>
    <n v="3.67"/>
    <x v="1"/>
    <n v="29.47"/>
    <s v="High"/>
    <m/>
    <m/>
    <m/>
    <m/>
    <m/>
    <m/>
    <m/>
    <m/>
    <m/>
    <m/>
    <m/>
    <m/>
    <m/>
  </r>
  <r>
    <x v="1"/>
    <s v="Agent_7"/>
    <s v="Monday"/>
    <s v="Evening"/>
    <x v="2"/>
    <n v="43"/>
    <n v="6.98"/>
    <x v="12"/>
    <n v="0.81"/>
    <n v="4.37"/>
    <x v="0"/>
    <n v="25.47"/>
    <s v="Low"/>
    <m/>
    <m/>
    <m/>
    <m/>
    <m/>
    <m/>
    <m/>
    <m/>
    <m/>
    <m/>
    <m/>
    <m/>
    <m/>
  </r>
  <r>
    <x v="1"/>
    <s v="Agent_7"/>
    <s v="Tuesday"/>
    <s v="Morning"/>
    <x v="0"/>
    <n v="33"/>
    <n v="8.43"/>
    <x v="5"/>
    <n v="0.89"/>
    <n v="4.21"/>
    <x v="3"/>
    <n v="33.64"/>
    <s v="High"/>
    <m/>
    <m/>
    <m/>
    <m/>
    <m/>
    <m/>
    <m/>
    <m/>
    <m/>
    <m/>
    <m/>
    <m/>
    <m/>
  </r>
  <r>
    <x v="1"/>
    <s v="Agent_7"/>
    <s v="Tuesday"/>
    <s v="Afternoon"/>
    <x v="0"/>
    <n v="42"/>
    <n v="8.23"/>
    <x v="15"/>
    <n v="0.75"/>
    <n v="4.28"/>
    <x v="0"/>
    <n v="27.34"/>
    <s v="Low"/>
    <m/>
    <m/>
    <m/>
    <m/>
    <m/>
    <m/>
    <m/>
    <m/>
    <m/>
    <m/>
    <m/>
    <m/>
    <m/>
  </r>
  <r>
    <x v="1"/>
    <s v="Agent_7"/>
    <s v="Tuesday"/>
    <s v="Evening"/>
    <x v="0"/>
    <n v="34"/>
    <n v="7.04"/>
    <x v="9"/>
    <n v="0.71"/>
    <n v="3.58"/>
    <x v="3"/>
    <n v="31.56"/>
    <s v="High"/>
    <m/>
    <m/>
    <m/>
    <m/>
    <m/>
    <m/>
    <m/>
    <m/>
    <m/>
    <m/>
    <m/>
    <m/>
    <m/>
  </r>
  <r>
    <x v="1"/>
    <s v="Agent_7"/>
    <s v="Wednesday"/>
    <s v="Morning"/>
    <x v="1"/>
    <n v="44"/>
    <n v="6.89"/>
    <x v="20"/>
    <n v="0.76"/>
    <n v="4.16"/>
    <x v="3"/>
    <n v="31.34"/>
    <s v="High"/>
    <m/>
    <m/>
    <m/>
    <m/>
    <m/>
    <m/>
    <m/>
    <m/>
    <m/>
    <m/>
    <m/>
    <m/>
    <m/>
  </r>
  <r>
    <x v="1"/>
    <s v="Agent_7"/>
    <s v="Wednesday"/>
    <s v="Afternoon"/>
    <x v="2"/>
    <n v="68"/>
    <n v="7.2"/>
    <x v="2"/>
    <n v="0.78"/>
    <n v="4.3499999999999996"/>
    <x v="1"/>
    <n v="29.8"/>
    <s v="High"/>
    <m/>
    <m/>
    <m/>
    <m/>
    <m/>
    <m/>
    <m/>
    <m/>
    <m/>
    <m/>
    <m/>
    <m/>
    <m/>
  </r>
  <r>
    <x v="1"/>
    <s v="Agent_7"/>
    <s v="Wednesday"/>
    <s v="Evening"/>
    <x v="2"/>
    <n v="66"/>
    <n v="7.37"/>
    <x v="2"/>
    <n v="0.69"/>
    <n v="4.04"/>
    <x v="1"/>
    <n v="30.06"/>
    <s v="High"/>
    <m/>
    <m/>
    <m/>
    <m/>
    <m/>
    <m/>
    <m/>
    <m/>
    <m/>
    <m/>
    <m/>
    <m/>
    <m/>
  </r>
  <r>
    <x v="1"/>
    <s v="Agent_7"/>
    <s v="Thursday"/>
    <s v="Morning"/>
    <x v="2"/>
    <n v="51"/>
    <n v="8.49"/>
    <x v="6"/>
    <n v="0.79"/>
    <n v="3.67"/>
    <x v="0"/>
    <n v="27.74"/>
    <s v="High"/>
    <m/>
    <m/>
    <m/>
    <m/>
    <m/>
    <m/>
    <m/>
    <m/>
    <m/>
    <m/>
    <m/>
    <m/>
    <m/>
  </r>
  <r>
    <x v="1"/>
    <s v="Agent_7"/>
    <s v="Thursday"/>
    <s v="Afternoon"/>
    <x v="2"/>
    <n v="50"/>
    <n v="6.95"/>
    <x v="7"/>
    <n v="0.78"/>
    <n v="3.52"/>
    <x v="0"/>
    <n v="25.42"/>
    <s v="Low"/>
    <m/>
    <m/>
    <m/>
    <m/>
    <m/>
    <m/>
    <m/>
    <m/>
    <m/>
    <m/>
    <m/>
    <m/>
    <m/>
  </r>
  <r>
    <x v="1"/>
    <s v="Agent_7"/>
    <s v="Thursday"/>
    <s v="Evening"/>
    <x v="2"/>
    <n v="47"/>
    <n v="7.89"/>
    <x v="4"/>
    <n v="0.61"/>
    <n v="3.98"/>
    <x v="0"/>
    <n v="26.84"/>
    <s v="Low"/>
    <m/>
    <m/>
    <m/>
    <m/>
    <m/>
    <m/>
    <m/>
    <m/>
    <m/>
    <m/>
    <m/>
    <m/>
    <m/>
  </r>
  <r>
    <x v="1"/>
    <s v="Agent_7"/>
    <s v="Friday"/>
    <s v="Morning"/>
    <x v="0"/>
    <n v="50"/>
    <n v="6.31"/>
    <x v="22"/>
    <n v="0.86"/>
    <n v="4.12"/>
    <x v="0"/>
    <n v="24.46"/>
    <s v="Low"/>
    <m/>
    <m/>
    <m/>
    <m/>
    <m/>
    <m/>
    <m/>
    <m/>
    <m/>
    <m/>
    <m/>
    <m/>
    <m/>
  </r>
  <r>
    <x v="1"/>
    <s v="Agent_7"/>
    <s v="Friday"/>
    <s v="Afternoon"/>
    <x v="0"/>
    <n v="67"/>
    <n v="7.46"/>
    <x v="8"/>
    <n v="0.89"/>
    <n v="3.67"/>
    <x v="0"/>
    <n v="26.19"/>
    <s v="Low"/>
    <m/>
    <m/>
    <m/>
    <m/>
    <m/>
    <m/>
    <m/>
    <m/>
    <m/>
    <m/>
    <m/>
    <m/>
    <m/>
  </r>
  <r>
    <x v="1"/>
    <s v="Agent_7"/>
    <s v="Friday"/>
    <s v="Evening"/>
    <x v="0"/>
    <n v="70"/>
    <n v="6.89"/>
    <x v="2"/>
    <n v="0.81"/>
    <n v="3.55"/>
    <x v="1"/>
    <n v="29.34"/>
    <s v="High"/>
    <m/>
    <m/>
    <m/>
    <m/>
    <m/>
    <m/>
    <m/>
    <m/>
    <m/>
    <m/>
    <m/>
    <m/>
    <m/>
  </r>
  <r>
    <x v="1"/>
    <s v="Agent_8"/>
    <s v="Monday"/>
    <s v="Morning"/>
    <x v="0"/>
    <n v="40"/>
    <n v="9.33"/>
    <x v="3"/>
    <n v="0.81"/>
    <n v="4.09"/>
    <x v="0"/>
    <n v="29"/>
    <s v="High"/>
    <m/>
    <m/>
    <m/>
    <m/>
    <m/>
    <m/>
    <m/>
    <m/>
    <m/>
    <m/>
    <m/>
    <m/>
    <m/>
  </r>
  <r>
    <x v="1"/>
    <s v="Agent_8"/>
    <s v="Monday"/>
    <s v="Afternoon"/>
    <x v="2"/>
    <n v="52"/>
    <n v="6.31"/>
    <x v="9"/>
    <n v="0.83"/>
    <n v="4.38"/>
    <x v="0"/>
    <n v="24.46"/>
    <s v="Low"/>
    <m/>
    <m/>
    <m/>
    <m/>
    <m/>
    <m/>
    <m/>
    <m/>
    <m/>
    <m/>
    <m/>
    <m/>
    <m/>
  </r>
  <r>
    <x v="1"/>
    <s v="Agent_8"/>
    <s v="Monday"/>
    <s v="Evening"/>
    <x v="1"/>
    <n v="72"/>
    <n v="7.56"/>
    <x v="28"/>
    <n v="0.8"/>
    <n v="3.64"/>
    <x v="0"/>
    <n v="26.34"/>
    <s v="Low"/>
    <m/>
    <m/>
    <m/>
    <m/>
    <m/>
    <m/>
    <m/>
    <m/>
    <m/>
    <m/>
    <m/>
    <m/>
    <m/>
  </r>
  <r>
    <x v="1"/>
    <s v="Agent_8"/>
    <s v="Tuesday"/>
    <s v="Morning"/>
    <x v="0"/>
    <n v="69"/>
    <n v="6.15"/>
    <x v="8"/>
    <n v="0.87"/>
    <n v="4.3600000000000003"/>
    <x v="0"/>
    <n v="24.22"/>
    <s v="Low"/>
    <m/>
    <m/>
    <m/>
    <m/>
    <m/>
    <m/>
    <m/>
    <m/>
    <m/>
    <m/>
    <m/>
    <m/>
    <m/>
  </r>
  <r>
    <x v="1"/>
    <s v="Agent_8"/>
    <s v="Tuesday"/>
    <s v="Afternoon"/>
    <x v="1"/>
    <n v="34"/>
    <n v="6.53"/>
    <x v="14"/>
    <n v="0.87"/>
    <n v="3.59"/>
    <x v="0"/>
    <n v="24.8"/>
    <s v="Low"/>
    <m/>
    <m/>
    <m/>
    <m/>
    <m/>
    <m/>
    <m/>
    <m/>
    <m/>
    <m/>
    <m/>
    <m/>
    <m/>
  </r>
  <r>
    <x v="1"/>
    <s v="Agent_8"/>
    <s v="Tuesday"/>
    <s v="Evening"/>
    <x v="1"/>
    <n v="77"/>
    <n v="8.11"/>
    <x v="6"/>
    <n v="0.65"/>
    <n v="3.66"/>
    <x v="2"/>
    <n v="29.16"/>
    <s v="High"/>
    <m/>
    <m/>
    <m/>
    <m/>
    <m/>
    <m/>
    <m/>
    <m/>
    <m/>
    <m/>
    <m/>
    <m/>
    <m/>
  </r>
  <r>
    <x v="1"/>
    <s v="Agent_8"/>
    <s v="Wednesday"/>
    <s v="Morning"/>
    <x v="2"/>
    <n v="70"/>
    <n v="8.81"/>
    <x v="12"/>
    <n v="0.82"/>
    <n v="4.66"/>
    <x v="0"/>
    <n v="28.22"/>
    <s v="High"/>
    <m/>
    <m/>
    <m/>
    <m/>
    <m/>
    <m/>
    <m/>
    <m/>
    <m/>
    <m/>
    <m/>
    <m/>
    <m/>
  </r>
  <r>
    <x v="1"/>
    <s v="Agent_8"/>
    <s v="Wednesday"/>
    <s v="Afternoon"/>
    <x v="1"/>
    <n v="56"/>
    <n v="7.56"/>
    <x v="25"/>
    <n v="0.86"/>
    <n v="4.5599999999999996"/>
    <x v="2"/>
    <n v="28.34"/>
    <s v="High"/>
    <m/>
    <m/>
    <m/>
    <m/>
    <m/>
    <m/>
    <m/>
    <m/>
    <m/>
    <m/>
    <m/>
    <m/>
    <m/>
  </r>
  <r>
    <x v="1"/>
    <s v="Agent_8"/>
    <s v="Wednesday"/>
    <s v="Evening"/>
    <x v="1"/>
    <n v="44"/>
    <n v="7.77"/>
    <x v="3"/>
    <n v="0.75"/>
    <n v="3.62"/>
    <x v="0"/>
    <n v="26.66"/>
    <s v="Low"/>
    <m/>
    <m/>
    <m/>
    <m/>
    <m/>
    <m/>
    <m/>
    <m/>
    <m/>
    <m/>
    <m/>
    <m/>
    <m/>
  </r>
  <r>
    <x v="1"/>
    <s v="Agent_8"/>
    <s v="Thursday"/>
    <s v="Morning"/>
    <x v="0"/>
    <n v="54"/>
    <n v="6.99"/>
    <x v="12"/>
    <n v="0.85"/>
    <n v="4.1399999999999997"/>
    <x v="0"/>
    <n v="25.48"/>
    <s v="Low"/>
    <m/>
    <m/>
    <m/>
    <m/>
    <m/>
    <m/>
    <m/>
    <m/>
    <m/>
    <m/>
    <m/>
    <m/>
    <m/>
  </r>
  <r>
    <x v="1"/>
    <s v="Agent_8"/>
    <s v="Thursday"/>
    <s v="Afternoon"/>
    <x v="2"/>
    <n v="61"/>
    <n v="6.74"/>
    <x v="22"/>
    <n v="0.88"/>
    <n v="3.84"/>
    <x v="0"/>
    <n v="25.11"/>
    <s v="Low"/>
    <m/>
    <m/>
    <m/>
    <m/>
    <m/>
    <m/>
    <m/>
    <m/>
    <m/>
    <m/>
    <m/>
    <m/>
    <m/>
  </r>
  <r>
    <x v="1"/>
    <s v="Agent_8"/>
    <s v="Thursday"/>
    <s v="Evening"/>
    <x v="0"/>
    <n v="50"/>
    <n v="6.21"/>
    <x v="4"/>
    <n v="0.68"/>
    <n v="4.4800000000000004"/>
    <x v="0"/>
    <n v="24.32"/>
    <s v="Low"/>
    <m/>
    <m/>
    <m/>
    <m/>
    <m/>
    <m/>
    <m/>
    <m/>
    <m/>
    <m/>
    <m/>
    <m/>
    <m/>
  </r>
  <r>
    <x v="1"/>
    <s v="Agent_8"/>
    <s v="Friday"/>
    <s v="Morning"/>
    <x v="0"/>
    <n v="42"/>
    <n v="7.73"/>
    <x v="5"/>
    <n v="0.77"/>
    <n v="4.4400000000000004"/>
    <x v="1"/>
    <n v="30.6"/>
    <s v="High"/>
    <m/>
    <m/>
    <m/>
    <m/>
    <m/>
    <m/>
    <m/>
    <m/>
    <m/>
    <m/>
    <m/>
    <m/>
    <m/>
  </r>
  <r>
    <x v="1"/>
    <s v="Agent_8"/>
    <s v="Friday"/>
    <s v="Afternoon"/>
    <x v="1"/>
    <n v="52"/>
    <n v="7.99"/>
    <x v="14"/>
    <n v="0.84"/>
    <n v="4.16"/>
    <x v="0"/>
    <n v="26.98"/>
    <s v="Low"/>
    <m/>
    <m/>
    <m/>
    <m/>
    <m/>
    <m/>
    <m/>
    <m/>
    <m/>
    <m/>
    <m/>
    <m/>
    <m/>
  </r>
  <r>
    <x v="1"/>
    <s v="Agent_8"/>
    <s v="Friday"/>
    <s v="Evening"/>
    <x v="0"/>
    <n v="58"/>
    <n v="8.2200000000000006"/>
    <x v="4"/>
    <n v="0.74"/>
    <n v="4.6399999999999997"/>
    <x v="0"/>
    <n v="27.33"/>
    <s v="Low"/>
    <m/>
    <m/>
    <m/>
    <m/>
    <m/>
    <m/>
    <m/>
    <m/>
    <m/>
    <m/>
    <m/>
    <m/>
    <m/>
  </r>
  <r>
    <x v="1"/>
    <s v="Agent_9"/>
    <s v="Monday"/>
    <s v="Morning"/>
    <x v="1"/>
    <n v="45"/>
    <n v="8.1"/>
    <x v="21"/>
    <n v="0.79"/>
    <n v="3.75"/>
    <x v="1"/>
    <n v="31.15"/>
    <s v="High"/>
    <m/>
    <m/>
    <m/>
    <m/>
    <m/>
    <m/>
    <m/>
    <m/>
    <m/>
    <m/>
    <m/>
    <m/>
    <m/>
  </r>
  <r>
    <x v="1"/>
    <s v="Agent_9"/>
    <s v="Monday"/>
    <s v="Afternoon"/>
    <x v="0"/>
    <n v="54"/>
    <n v="8.27"/>
    <x v="7"/>
    <n v="0.86"/>
    <n v="4.3"/>
    <x v="0"/>
    <n v="27.4"/>
    <s v="Low"/>
    <m/>
    <m/>
    <m/>
    <m/>
    <m/>
    <m/>
    <m/>
    <m/>
    <m/>
    <m/>
    <m/>
    <m/>
    <m/>
  </r>
  <r>
    <x v="1"/>
    <s v="Agent_9"/>
    <s v="Monday"/>
    <s v="Evening"/>
    <x v="0"/>
    <n v="42"/>
    <n v="9.14"/>
    <x v="13"/>
    <n v="0.81"/>
    <n v="4.58"/>
    <x v="0"/>
    <n v="28.71"/>
    <s v="High"/>
    <m/>
    <m/>
    <m/>
    <m/>
    <m/>
    <m/>
    <m/>
    <m/>
    <m/>
    <m/>
    <m/>
    <m/>
    <m/>
  </r>
  <r>
    <x v="1"/>
    <s v="Agent_9"/>
    <s v="Tuesday"/>
    <s v="Morning"/>
    <x v="2"/>
    <n v="49"/>
    <n v="10.130000000000001"/>
    <x v="22"/>
    <n v="0.77"/>
    <n v="3.9"/>
    <x v="1"/>
    <n v="34.200000000000003"/>
    <s v="High"/>
    <m/>
    <m/>
    <m/>
    <m/>
    <m/>
    <m/>
    <m/>
    <m/>
    <m/>
    <m/>
    <m/>
    <m/>
    <m/>
  </r>
  <r>
    <x v="1"/>
    <s v="Agent_9"/>
    <s v="Tuesday"/>
    <s v="Afternoon"/>
    <x v="2"/>
    <n v="33"/>
    <n v="9.06"/>
    <x v="9"/>
    <n v="0.78"/>
    <n v="3.68"/>
    <x v="2"/>
    <n v="30.59"/>
    <s v="High"/>
    <m/>
    <m/>
    <m/>
    <m/>
    <m/>
    <m/>
    <m/>
    <m/>
    <m/>
    <m/>
    <m/>
    <m/>
    <m/>
  </r>
  <r>
    <x v="1"/>
    <s v="Agent_9"/>
    <s v="Tuesday"/>
    <s v="Evening"/>
    <x v="1"/>
    <n v="68"/>
    <n v="6.25"/>
    <x v="2"/>
    <n v="0.75"/>
    <n v="3.96"/>
    <x v="2"/>
    <n v="26.38"/>
    <s v="Low"/>
    <m/>
    <m/>
    <m/>
    <m/>
    <m/>
    <m/>
    <m/>
    <m/>
    <m/>
    <m/>
    <m/>
    <m/>
    <m/>
  </r>
  <r>
    <x v="1"/>
    <s v="Agent_9"/>
    <s v="Wednesday"/>
    <s v="Morning"/>
    <x v="1"/>
    <n v="36"/>
    <n v="9.7100000000000009"/>
    <x v="8"/>
    <n v="0.84"/>
    <n v="4.2300000000000004"/>
    <x v="0"/>
    <n v="29.56"/>
    <s v="High"/>
    <m/>
    <m/>
    <m/>
    <m/>
    <m/>
    <m/>
    <m/>
    <m/>
    <m/>
    <m/>
    <m/>
    <m/>
    <m/>
  </r>
  <r>
    <x v="1"/>
    <s v="Agent_9"/>
    <s v="Wednesday"/>
    <s v="Afternoon"/>
    <x v="0"/>
    <n v="63"/>
    <n v="7.2"/>
    <x v="0"/>
    <n v="0.84"/>
    <n v="3.53"/>
    <x v="0"/>
    <n v="25.8"/>
    <s v="Low"/>
    <m/>
    <m/>
    <m/>
    <m/>
    <m/>
    <m/>
    <m/>
    <m/>
    <m/>
    <m/>
    <m/>
    <m/>
    <m/>
  </r>
  <r>
    <x v="1"/>
    <s v="Agent_9"/>
    <s v="Wednesday"/>
    <s v="Evening"/>
    <x v="0"/>
    <n v="48"/>
    <n v="7.33"/>
    <x v="9"/>
    <n v="0.78"/>
    <n v="4.53"/>
    <x v="0"/>
    <n v="26"/>
    <s v="Low"/>
    <m/>
    <m/>
    <m/>
    <m/>
    <m/>
    <m/>
    <m/>
    <m/>
    <m/>
    <m/>
    <m/>
    <m/>
    <m/>
  </r>
  <r>
    <x v="1"/>
    <s v="Agent_9"/>
    <s v="Thursday"/>
    <s v="Morning"/>
    <x v="0"/>
    <n v="65"/>
    <n v="7.05"/>
    <x v="5"/>
    <n v="0.86"/>
    <n v="3.81"/>
    <x v="0"/>
    <n v="25.58"/>
    <s v="Low"/>
    <m/>
    <m/>
    <m/>
    <m/>
    <m/>
    <m/>
    <m/>
    <m/>
    <m/>
    <m/>
    <m/>
    <m/>
    <m/>
  </r>
  <r>
    <x v="1"/>
    <s v="Agent_9"/>
    <s v="Thursday"/>
    <s v="Afternoon"/>
    <x v="1"/>
    <n v="57"/>
    <n v="7.69"/>
    <x v="19"/>
    <n v="0.85"/>
    <n v="4.5199999999999996"/>
    <x v="0"/>
    <n v="26.54"/>
    <s v="Low"/>
    <m/>
    <m/>
    <m/>
    <m/>
    <m/>
    <m/>
    <m/>
    <m/>
    <m/>
    <m/>
    <m/>
    <m/>
    <m/>
  </r>
  <r>
    <x v="1"/>
    <s v="Agent_9"/>
    <s v="Thursday"/>
    <s v="Evening"/>
    <x v="0"/>
    <n v="43"/>
    <n v="8.08"/>
    <x v="9"/>
    <n v="0.78"/>
    <n v="4.74"/>
    <x v="0"/>
    <n v="27.12"/>
    <s v="Low"/>
    <m/>
    <m/>
    <m/>
    <m/>
    <m/>
    <m/>
    <m/>
    <m/>
    <m/>
    <m/>
    <m/>
    <m/>
    <m/>
  </r>
  <r>
    <x v="1"/>
    <s v="Agent_9"/>
    <s v="Friday"/>
    <s v="Morning"/>
    <x v="0"/>
    <n v="39"/>
    <n v="7.64"/>
    <x v="22"/>
    <n v="0.89"/>
    <n v="3.84"/>
    <x v="0"/>
    <n v="26.46"/>
    <s v="Low"/>
    <m/>
    <m/>
    <m/>
    <m/>
    <m/>
    <m/>
    <m/>
    <m/>
    <m/>
    <m/>
    <m/>
    <m/>
    <m/>
  </r>
  <r>
    <x v="1"/>
    <s v="Agent_9"/>
    <s v="Friday"/>
    <s v="Afternoon"/>
    <x v="2"/>
    <n v="58"/>
    <n v="5.73"/>
    <x v="3"/>
    <n v="0.82"/>
    <n v="4.07"/>
    <x v="1"/>
    <n v="27.6"/>
    <s v="Low"/>
    <m/>
    <m/>
    <m/>
    <m/>
    <m/>
    <m/>
    <m/>
    <m/>
    <m/>
    <m/>
    <m/>
    <m/>
    <m/>
  </r>
  <r>
    <x v="1"/>
    <s v="Agent_9"/>
    <s v="Friday"/>
    <s v="Evening"/>
    <x v="2"/>
    <n v="55"/>
    <n v="7.71"/>
    <x v="3"/>
    <n v="0.71"/>
    <n v="4.45"/>
    <x v="2"/>
    <n v="28.56"/>
    <s v="High"/>
    <m/>
    <m/>
    <m/>
    <m/>
    <m/>
    <m/>
    <m/>
    <m/>
    <m/>
    <m/>
    <m/>
    <m/>
    <m/>
  </r>
  <r>
    <x v="1"/>
    <s v="Agent_10"/>
    <s v="Monday"/>
    <s v="Morning"/>
    <x v="1"/>
    <n v="73"/>
    <n v="7.12"/>
    <x v="3"/>
    <n v="0.86"/>
    <n v="4.3499999999999996"/>
    <x v="3"/>
    <n v="31.68"/>
    <s v="High"/>
    <m/>
    <m/>
    <m/>
    <m/>
    <m/>
    <m/>
    <m/>
    <m/>
    <m/>
    <m/>
    <m/>
    <m/>
    <m/>
  </r>
  <r>
    <x v="1"/>
    <s v="Agent_10"/>
    <s v="Monday"/>
    <s v="Afternoon"/>
    <x v="1"/>
    <n v="73"/>
    <n v="6.55"/>
    <x v="26"/>
    <n v="0.9"/>
    <n v="3.98"/>
    <x v="0"/>
    <n v="24.82"/>
    <s v="Low"/>
    <m/>
    <m/>
    <m/>
    <m/>
    <m/>
    <m/>
    <m/>
    <m/>
    <m/>
    <m/>
    <m/>
    <m/>
    <m/>
  </r>
  <r>
    <x v="1"/>
    <s v="Agent_10"/>
    <s v="Monday"/>
    <s v="Evening"/>
    <x v="2"/>
    <n v="35"/>
    <n v="6.55"/>
    <x v="4"/>
    <n v="0.72"/>
    <n v="3.54"/>
    <x v="0"/>
    <n v="24.82"/>
    <s v="Low"/>
    <m/>
    <m/>
    <m/>
    <m/>
    <m/>
    <m/>
    <m/>
    <m/>
    <m/>
    <m/>
    <m/>
    <m/>
    <m/>
  </r>
  <r>
    <x v="1"/>
    <s v="Agent_10"/>
    <s v="Tuesday"/>
    <s v="Morning"/>
    <x v="2"/>
    <n v="50"/>
    <n v="5.08"/>
    <x v="8"/>
    <n v="0.88"/>
    <n v="3.53"/>
    <x v="2"/>
    <n v="24.62"/>
    <s v="Low"/>
    <m/>
    <m/>
    <m/>
    <m/>
    <m/>
    <m/>
    <m/>
    <m/>
    <m/>
    <m/>
    <m/>
    <m/>
    <m/>
  </r>
  <r>
    <x v="1"/>
    <s v="Agent_10"/>
    <s v="Tuesday"/>
    <s v="Afternoon"/>
    <x v="2"/>
    <n v="44"/>
    <n v="8.3800000000000008"/>
    <x v="13"/>
    <n v="0.81"/>
    <n v="4.58"/>
    <x v="2"/>
    <n v="29.57"/>
    <s v="High"/>
    <m/>
    <m/>
    <m/>
    <m/>
    <m/>
    <m/>
    <m/>
    <m/>
    <m/>
    <m/>
    <m/>
    <m/>
    <m/>
  </r>
  <r>
    <x v="1"/>
    <s v="Agent_10"/>
    <s v="Tuesday"/>
    <s v="Evening"/>
    <x v="0"/>
    <n v="66"/>
    <n v="6.39"/>
    <x v="7"/>
    <n v="0.72"/>
    <n v="4.76"/>
    <x v="2"/>
    <n v="26.58"/>
    <s v="Low"/>
    <m/>
    <m/>
    <m/>
    <m/>
    <m/>
    <m/>
    <m/>
    <m/>
    <m/>
    <m/>
    <m/>
    <m/>
    <m/>
  </r>
  <r>
    <x v="1"/>
    <s v="Agent_10"/>
    <s v="Wednesday"/>
    <s v="Morning"/>
    <x v="0"/>
    <n v="70"/>
    <n v="8.07"/>
    <x v="15"/>
    <n v="0.86"/>
    <n v="4.04"/>
    <x v="0"/>
    <n v="27.1"/>
    <s v="Low"/>
    <m/>
    <m/>
    <m/>
    <m/>
    <m/>
    <m/>
    <m/>
    <m/>
    <m/>
    <m/>
    <m/>
    <m/>
    <m/>
  </r>
  <r>
    <x v="1"/>
    <s v="Agent_10"/>
    <s v="Wednesday"/>
    <s v="Afternoon"/>
    <x v="0"/>
    <n v="62"/>
    <n v="6.48"/>
    <x v="13"/>
    <n v="0.86"/>
    <n v="3.59"/>
    <x v="2"/>
    <n v="26.72"/>
    <s v="Low"/>
    <m/>
    <m/>
    <m/>
    <m/>
    <m/>
    <m/>
    <m/>
    <m/>
    <m/>
    <m/>
    <m/>
    <m/>
    <m/>
  </r>
  <r>
    <x v="1"/>
    <s v="Agent_10"/>
    <s v="Wednesday"/>
    <s v="Evening"/>
    <x v="0"/>
    <n v="35"/>
    <n v="7.56"/>
    <x v="2"/>
    <n v="0.81"/>
    <n v="4.0599999999999996"/>
    <x v="0"/>
    <n v="26.34"/>
    <s v="Low"/>
    <m/>
    <m/>
    <m/>
    <m/>
    <m/>
    <m/>
    <m/>
    <m/>
    <m/>
    <m/>
    <m/>
    <m/>
    <m/>
  </r>
  <r>
    <x v="1"/>
    <s v="Agent_10"/>
    <s v="Thursday"/>
    <s v="Morning"/>
    <x v="0"/>
    <n v="31"/>
    <n v="9.1300000000000008"/>
    <x v="22"/>
    <n v="0.87"/>
    <n v="3.65"/>
    <x v="0"/>
    <n v="28.7"/>
    <s v="High"/>
    <m/>
    <m/>
    <m/>
    <m/>
    <m/>
    <m/>
    <m/>
    <m/>
    <m/>
    <m/>
    <m/>
    <m/>
    <m/>
  </r>
  <r>
    <x v="1"/>
    <s v="Agent_10"/>
    <s v="Thursday"/>
    <s v="Afternoon"/>
    <x v="2"/>
    <n v="78"/>
    <n v="7.24"/>
    <x v="2"/>
    <n v="0.79"/>
    <n v="3.71"/>
    <x v="0"/>
    <n v="25.86"/>
    <s v="Low"/>
    <m/>
    <m/>
    <m/>
    <m/>
    <m/>
    <m/>
    <m/>
    <m/>
    <m/>
    <m/>
    <m/>
    <m/>
    <m/>
  </r>
  <r>
    <x v="1"/>
    <s v="Agent_10"/>
    <s v="Thursday"/>
    <s v="Evening"/>
    <x v="2"/>
    <n v="51"/>
    <n v="6.53"/>
    <x v="2"/>
    <n v="0.84"/>
    <n v="4.2300000000000004"/>
    <x v="2"/>
    <n v="26.8"/>
    <s v="Low"/>
    <m/>
    <m/>
    <m/>
    <m/>
    <m/>
    <m/>
    <m/>
    <m/>
    <m/>
    <m/>
    <m/>
    <m/>
    <m/>
  </r>
  <r>
    <x v="1"/>
    <s v="Agent_10"/>
    <s v="Friday"/>
    <s v="Morning"/>
    <x v="0"/>
    <n v="31"/>
    <n v="7.96"/>
    <x v="4"/>
    <n v="0.82"/>
    <n v="4.68"/>
    <x v="0"/>
    <n v="26.94"/>
    <s v="Low"/>
    <m/>
    <m/>
    <m/>
    <m/>
    <m/>
    <m/>
    <m/>
    <m/>
    <m/>
    <m/>
    <m/>
    <m/>
    <m/>
  </r>
  <r>
    <x v="1"/>
    <s v="Agent_10"/>
    <s v="Friday"/>
    <s v="Afternoon"/>
    <x v="0"/>
    <n v="35"/>
    <n v="6.7"/>
    <x v="8"/>
    <n v="0.76"/>
    <n v="4.07"/>
    <x v="0"/>
    <n v="25.05"/>
    <s v="Low"/>
    <m/>
    <m/>
    <m/>
    <m/>
    <m/>
    <m/>
    <m/>
    <m/>
    <m/>
    <m/>
    <m/>
    <m/>
    <m/>
  </r>
  <r>
    <x v="1"/>
    <s v="Agent_10"/>
    <s v="Friday"/>
    <s v="Evening"/>
    <x v="1"/>
    <n v="37"/>
    <n v="5.37"/>
    <x v="9"/>
    <n v="0.8"/>
    <n v="4.25"/>
    <x v="2"/>
    <n v="25.06"/>
    <s v="Low"/>
    <m/>
    <m/>
    <m/>
    <m/>
    <m/>
    <m/>
    <m/>
    <m/>
    <m/>
    <m/>
    <m/>
    <m/>
    <m/>
  </r>
  <r>
    <x v="2"/>
    <s v="Agent_1"/>
    <s v="Monday"/>
    <s v="Morning"/>
    <x v="2"/>
    <n v="76"/>
    <n v="3.24"/>
    <x v="7"/>
    <n v="0.77"/>
    <n v="4.3"/>
    <x v="0"/>
    <n v="19.86"/>
    <s v="Low"/>
    <m/>
    <m/>
    <m/>
    <m/>
    <m/>
    <m/>
    <m/>
    <m/>
    <m/>
    <m/>
    <m/>
    <m/>
    <m/>
  </r>
  <r>
    <x v="2"/>
    <s v="Agent_1"/>
    <s v="Monday"/>
    <s v="Afternoon"/>
    <x v="2"/>
    <n v="72"/>
    <n v="7.06"/>
    <x v="6"/>
    <n v="0.77"/>
    <n v="3.76"/>
    <x v="0"/>
    <n v="25.59"/>
    <s v="Low"/>
    <m/>
    <m/>
    <m/>
    <m/>
    <m/>
    <m/>
    <m/>
    <m/>
    <m/>
    <m/>
    <m/>
    <m/>
    <m/>
  </r>
  <r>
    <x v="2"/>
    <s v="Agent_1"/>
    <s v="Monday"/>
    <s v="Evening"/>
    <x v="2"/>
    <n v="77"/>
    <n v="5.8"/>
    <x v="0"/>
    <n v="0.62"/>
    <n v="4.6500000000000004"/>
    <x v="1"/>
    <n v="27.7"/>
    <s v="High"/>
    <m/>
    <m/>
    <m/>
    <m/>
    <m/>
    <m/>
    <m/>
    <m/>
    <m/>
    <m/>
    <m/>
    <m/>
    <m/>
  </r>
  <r>
    <x v="2"/>
    <s v="Agent_1"/>
    <s v="Tuesday"/>
    <s v="Morning"/>
    <x v="0"/>
    <n v="45"/>
    <n v="4.84"/>
    <x v="6"/>
    <n v="0.82"/>
    <n v="3.66"/>
    <x v="2"/>
    <n v="24.26"/>
    <s v="Low"/>
    <m/>
    <m/>
    <m/>
    <m/>
    <m/>
    <m/>
    <m/>
    <m/>
    <m/>
    <m/>
    <m/>
    <m/>
    <m/>
  </r>
  <r>
    <x v="2"/>
    <s v="Agent_1"/>
    <s v="Tuesday"/>
    <s v="Afternoon"/>
    <x v="0"/>
    <n v="57"/>
    <n v="5.81"/>
    <x v="5"/>
    <n v="0.75"/>
    <n v="4.2300000000000004"/>
    <x v="0"/>
    <n v="23.72"/>
    <s v="Low"/>
    <m/>
    <m/>
    <m/>
    <m/>
    <m/>
    <m/>
    <m/>
    <m/>
    <m/>
    <m/>
    <m/>
    <m/>
    <m/>
  </r>
  <r>
    <x v="2"/>
    <s v="Agent_1"/>
    <s v="Tuesday"/>
    <s v="Evening"/>
    <x v="2"/>
    <n v="63"/>
    <n v="6.99"/>
    <x v="2"/>
    <n v="0.69"/>
    <n v="4.7699999999999996"/>
    <x v="0"/>
    <n v="25.48"/>
    <s v="Low"/>
    <m/>
    <m/>
    <m/>
    <m/>
    <m/>
    <m/>
    <m/>
    <m/>
    <m/>
    <m/>
    <m/>
    <m/>
    <m/>
  </r>
  <r>
    <x v="2"/>
    <s v="Agent_1"/>
    <s v="Wednesday"/>
    <s v="Morning"/>
    <x v="1"/>
    <n v="67"/>
    <n v="7.81"/>
    <x v="13"/>
    <n v="0.82"/>
    <n v="4.57"/>
    <x v="0"/>
    <n v="26.72"/>
    <s v="Low"/>
    <m/>
    <m/>
    <m/>
    <m/>
    <m/>
    <m/>
    <m/>
    <m/>
    <m/>
    <m/>
    <m/>
    <m/>
    <m/>
  </r>
  <r>
    <x v="2"/>
    <s v="Agent_1"/>
    <s v="Wednesday"/>
    <s v="Afternoon"/>
    <x v="0"/>
    <n v="63"/>
    <n v="6.35"/>
    <x v="13"/>
    <n v="0.88"/>
    <n v="4.18"/>
    <x v="0"/>
    <n v="24.52"/>
    <s v="Low"/>
    <m/>
    <m/>
    <m/>
    <m/>
    <m/>
    <m/>
    <m/>
    <m/>
    <m/>
    <m/>
    <m/>
    <m/>
    <m/>
  </r>
  <r>
    <x v="2"/>
    <s v="Agent_1"/>
    <s v="Wednesday"/>
    <s v="Evening"/>
    <x v="1"/>
    <n v="55"/>
    <n v="5.76"/>
    <x v="7"/>
    <n v="0.69"/>
    <n v="4.09"/>
    <x v="2"/>
    <n v="25.64"/>
    <s v="Low"/>
    <m/>
    <m/>
    <m/>
    <m/>
    <m/>
    <m/>
    <m/>
    <m/>
    <m/>
    <m/>
    <m/>
    <m/>
    <m/>
  </r>
  <r>
    <x v="2"/>
    <s v="Agent_1"/>
    <s v="Thursday"/>
    <s v="Morning"/>
    <x v="0"/>
    <n v="77"/>
    <n v="5.63"/>
    <x v="0"/>
    <n v="0.86"/>
    <n v="4.55"/>
    <x v="1"/>
    <n v="27.44"/>
    <s v="Low"/>
    <m/>
    <m/>
    <m/>
    <m/>
    <m/>
    <m/>
    <m/>
    <m/>
    <m/>
    <m/>
    <m/>
    <m/>
    <m/>
  </r>
  <r>
    <x v="2"/>
    <s v="Agent_1"/>
    <s v="Thursday"/>
    <s v="Afternoon"/>
    <x v="1"/>
    <n v="62"/>
    <n v="6.37"/>
    <x v="13"/>
    <n v="0.85"/>
    <n v="3.59"/>
    <x v="0"/>
    <n v="24.56"/>
    <s v="Low"/>
    <m/>
    <m/>
    <m/>
    <m/>
    <m/>
    <m/>
    <m/>
    <m/>
    <m/>
    <m/>
    <m/>
    <m/>
    <m/>
  </r>
  <r>
    <x v="2"/>
    <s v="Agent_1"/>
    <s v="Thursday"/>
    <s v="Evening"/>
    <x v="2"/>
    <n v="30"/>
    <n v="5.21"/>
    <x v="13"/>
    <n v="0.67"/>
    <n v="4.34"/>
    <x v="2"/>
    <n v="24.82"/>
    <s v="Low"/>
    <m/>
    <m/>
    <m/>
    <m/>
    <m/>
    <m/>
    <m/>
    <m/>
    <m/>
    <m/>
    <m/>
    <m/>
    <m/>
  </r>
  <r>
    <x v="2"/>
    <s v="Agent_1"/>
    <s v="Friday"/>
    <s v="Morning"/>
    <x v="0"/>
    <n v="67"/>
    <n v="5.41"/>
    <x v="9"/>
    <n v="0.81"/>
    <n v="4.49"/>
    <x v="1"/>
    <n v="27.12"/>
    <s v="Low"/>
    <m/>
    <m/>
    <m/>
    <m/>
    <m/>
    <m/>
    <m/>
    <m/>
    <m/>
    <m/>
    <m/>
    <m/>
    <m/>
  </r>
  <r>
    <x v="2"/>
    <s v="Agent_1"/>
    <s v="Friday"/>
    <s v="Afternoon"/>
    <x v="1"/>
    <n v="38"/>
    <n v="5.81"/>
    <x v="26"/>
    <n v="0.85"/>
    <n v="3.84"/>
    <x v="1"/>
    <n v="27.72"/>
    <s v="High"/>
    <m/>
    <m/>
    <m/>
    <m/>
    <m/>
    <m/>
    <m/>
    <m/>
    <m/>
    <m/>
    <m/>
    <m/>
    <m/>
  </r>
  <r>
    <x v="2"/>
    <s v="Agent_1"/>
    <s v="Friday"/>
    <s v="Evening"/>
    <x v="0"/>
    <n v="52"/>
    <n v="5.62"/>
    <x v="8"/>
    <n v="0.66"/>
    <n v="4"/>
    <x v="0"/>
    <n v="23.43"/>
    <s v="Low"/>
    <m/>
    <m/>
    <m/>
    <m/>
    <m/>
    <m/>
    <m/>
    <m/>
    <m/>
    <m/>
    <m/>
    <m/>
    <m/>
  </r>
  <r>
    <x v="2"/>
    <s v="Agent_2"/>
    <s v="Monday"/>
    <s v="Morning"/>
    <x v="0"/>
    <n v="43"/>
    <n v="4.8600000000000003"/>
    <x v="3"/>
    <n v="0.75"/>
    <n v="4.05"/>
    <x v="0"/>
    <n v="22.29"/>
    <s v="Low"/>
    <m/>
    <m/>
    <m/>
    <m/>
    <m/>
    <m/>
    <m/>
    <m/>
    <m/>
    <m/>
    <m/>
    <m/>
    <m/>
  </r>
  <r>
    <x v="2"/>
    <s v="Agent_2"/>
    <s v="Monday"/>
    <s v="Afternoon"/>
    <x v="2"/>
    <n v="51"/>
    <n v="5.56"/>
    <x v="12"/>
    <n v="0.86"/>
    <n v="4.55"/>
    <x v="0"/>
    <n v="23.34"/>
    <s v="Low"/>
    <m/>
    <m/>
    <m/>
    <m/>
    <m/>
    <m/>
    <m/>
    <m/>
    <m/>
    <m/>
    <m/>
    <m/>
    <m/>
  </r>
  <r>
    <x v="2"/>
    <s v="Agent_2"/>
    <s v="Monday"/>
    <s v="Evening"/>
    <x v="2"/>
    <n v="38"/>
    <n v="6.75"/>
    <x v="22"/>
    <n v="0.81"/>
    <n v="3.87"/>
    <x v="1"/>
    <n v="29.12"/>
    <s v="High"/>
    <m/>
    <m/>
    <m/>
    <m/>
    <m/>
    <m/>
    <m/>
    <m/>
    <m/>
    <m/>
    <m/>
    <m/>
    <m/>
  </r>
  <r>
    <x v="2"/>
    <s v="Agent_2"/>
    <s v="Tuesday"/>
    <s v="Morning"/>
    <x v="1"/>
    <n v="67"/>
    <n v="4.3"/>
    <x v="18"/>
    <n v="0.76"/>
    <n v="3.79"/>
    <x v="2"/>
    <n v="23.45"/>
    <s v="Low"/>
    <m/>
    <m/>
    <m/>
    <m/>
    <m/>
    <m/>
    <m/>
    <m/>
    <m/>
    <m/>
    <m/>
    <m/>
    <m/>
  </r>
  <r>
    <x v="2"/>
    <s v="Agent_2"/>
    <s v="Tuesday"/>
    <s v="Afternoon"/>
    <x v="0"/>
    <n v="33"/>
    <n v="6.53"/>
    <x v="13"/>
    <n v="0.88"/>
    <n v="3.93"/>
    <x v="0"/>
    <n v="24.8"/>
    <s v="Low"/>
    <m/>
    <m/>
    <m/>
    <m/>
    <m/>
    <m/>
    <m/>
    <m/>
    <m/>
    <m/>
    <m/>
    <m/>
    <m/>
  </r>
  <r>
    <x v="2"/>
    <s v="Agent_2"/>
    <s v="Tuesday"/>
    <s v="Evening"/>
    <x v="2"/>
    <n v="45"/>
    <n v="6.73"/>
    <x v="15"/>
    <n v="0.75"/>
    <n v="4.79"/>
    <x v="1"/>
    <n v="29.1"/>
    <s v="High"/>
    <m/>
    <m/>
    <m/>
    <m/>
    <m/>
    <m/>
    <m/>
    <m/>
    <m/>
    <m/>
    <m/>
    <m/>
    <m/>
  </r>
  <r>
    <x v="2"/>
    <s v="Agent_2"/>
    <s v="Wednesday"/>
    <s v="Morning"/>
    <x v="0"/>
    <n v="34"/>
    <n v="5.35"/>
    <x v="2"/>
    <n v="0.78"/>
    <n v="4.13"/>
    <x v="2"/>
    <n v="25.02"/>
    <s v="Low"/>
    <m/>
    <m/>
    <m/>
    <m/>
    <m/>
    <m/>
    <m/>
    <m/>
    <m/>
    <m/>
    <m/>
    <m/>
    <m/>
  </r>
  <r>
    <x v="2"/>
    <s v="Agent_2"/>
    <s v="Wednesday"/>
    <s v="Afternoon"/>
    <x v="0"/>
    <n v="38"/>
    <n v="6.98"/>
    <x v="13"/>
    <n v="0.84"/>
    <n v="4.17"/>
    <x v="0"/>
    <n v="25.47"/>
    <s v="Low"/>
    <m/>
    <m/>
    <m/>
    <m/>
    <m/>
    <m/>
    <m/>
    <m/>
    <m/>
    <m/>
    <m/>
    <m/>
    <m/>
  </r>
  <r>
    <x v="2"/>
    <s v="Agent_2"/>
    <s v="Wednesday"/>
    <s v="Evening"/>
    <x v="0"/>
    <n v="41"/>
    <n v="6.5"/>
    <x v="3"/>
    <n v="0.63"/>
    <n v="3.94"/>
    <x v="0"/>
    <n v="24.75"/>
    <s v="Low"/>
    <m/>
    <m/>
    <m/>
    <m/>
    <m/>
    <m/>
    <m/>
    <m/>
    <m/>
    <m/>
    <m/>
    <m/>
    <m/>
  </r>
  <r>
    <x v="2"/>
    <s v="Agent_2"/>
    <s v="Thursday"/>
    <s v="Morning"/>
    <x v="1"/>
    <n v="50"/>
    <n v="7.22"/>
    <x v="27"/>
    <n v="0.79"/>
    <n v="4.17"/>
    <x v="0"/>
    <n v="25.83"/>
    <s v="Low"/>
    <m/>
    <m/>
    <m/>
    <m/>
    <m/>
    <m/>
    <m/>
    <m/>
    <m/>
    <m/>
    <m/>
    <m/>
    <m/>
  </r>
  <r>
    <x v="2"/>
    <s v="Agent_2"/>
    <s v="Thursday"/>
    <s v="Afternoon"/>
    <x v="0"/>
    <n v="74"/>
    <n v="7.75"/>
    <x v="6"/>
    <n v="0.79"/>
    <n v="3.85"/>
    <x v="0"/>
    <n v="26.62"/>
    <s v="Low"/>
    <m/>
    <m/>
    <m/>
    <m/>
    <m/>
    <m/>
    <m/>
    <m/>
    <m/>
    <m/>
    <m/>
    <m/>
    <m/>
  </r>
  <r>
    <x v="2"/>
    <s v="Agent_2"/>
    <s v="Thursday"/>
    <s v="Evening"/>
    <x v="2"/>
    <n v="37"/>
    <n v="5.38"/>
    <x v="2"/>
    <n v="0.69"/>
    <n v="4.1100000000000003"/>
    <x v="0"/>
    <n v="23.07"/>
    <s v="Low"/>
    <m/>
    <m/>
    <m/>
    <m/>
    <m/>
    <m/>
    <m/>
    <m/>
    <m/>
    <m/>
    <m/>
    <m/>
    <m/>
  </r>
  <r>
    <x v="2"/>
    <s v="Agent_2"/>
    <s v="Friday"/>
    <s v="Morning"/>
    <x v="1"/>
    <n v="71"/>
    <n v="6.19"/>
    <x v="16"/>
    <n v="0.8"/>
    <n v="4.13"/>
    <x v="0"/>
    <n v="24.28"/>
    <s v="Low"/>
    <m/>
    <m/>
    <m/>
    <m/>
    <m/>
    <m/>
    <m/>
    <m/>
    <m/>
    <m/>
    <m/>
    <m/>
    <m/>
  </r>
  <r>
    <x v="2"/>
    <s v="Agent_2"/>
    <s v="Friday"/>
    <s v="Afternoon"/>
    <x v="0"/>
    <n v="74"/>
    <n v="8.48"/>
    <x v="7"/>
    <n v="0.88"/>
    <n v="3.56"/>
    <x v="1"/>
    <n v="31.72"/>
    <s v="High"/>
    <m/>
    <m/>
    <m/>
    <m/>
    <m/>
    <m/>
    <m/>
    <m/>
    <m/>
    <m/>
    <m/>
    <m/>
    <m/>
  </r>
  <r>
    <x v="2"/>
    <s v="Agent_2"/>
    <s v="Friday"/>
    <s v="Evening"/>
    <x v="2"/>
    <n v="62"/>
    <n v="5.3"/>
    <x v="22"/>
    <n v="0.8"/>
    <n v="4.24"/>
    <x v="0"/>
    <n v="22.95"/>
    <s v="Low"/>
    <m/>
    <m/>
    <m/>
    <m/>
    <m/>
    <m/>
    <m/>
    <m/>
    <m/>
    <m/>
    <m/>
    <m/>
    <m/>
  </r>
  <r>
    <x v="2"/>
    <s v="Agent_3"/>
    <s v="Monday"/>
    <s v="Morning"/>
    <x v="1"/>
    <n v="70"/>
    <n v="5.22"/>
    <x v="25"/>
    <n v="0.77"/>
    <n v="3.95"/>
    <x v="0"/>
    <n v="22.83"/>
    <s v="Low"/>
    <m/>
    <m/>
    <m/>
    <m/>
    <m/>
    <m/>
    <m/>
    <m/>
    <m/>
    <m/>
    <m/>
    <m/>
    <m/>
  </r>
  <r>
    <x v="2"/>
    <s v="Agent_3"/>
    <s v="Monday"/>
    <s v="Afternoon"/>
    <x v="2"/>
    <n v="42"/>
    <n v="5.81"/>
    <x v="1"/>
    <n v="0.76"/>
    <n v="4.09"/>
    <x v="1"/>
    <n v="27.72"/>
    <s v="High"/>
    <m/>
    <m/>
    <m/>
    <m/>
    <m/>
    <m/>
    <m/>
    <m/>
    <m/>
    <m/>
    <m/>
    <m/>
    <m/>
  </r>
  <r>
    <x v="2"/>
    <s v="Agent_3"/>
    <s v="Monday"/>
    <s v="Evening"/>
    <x v="1"/>
    <n v="69"/>
    <n v="4.2"/>
    <x v="17"/>
    <n v="0.78"/>
    <n v="4.29"/>
    <x v="0"/>
    <n v="21.3"/>
    <s v="Low"/>
    <m/>
    <m/>
    <m/>
    <m/>
    <m/>
    <m/>
    <m/>
    <m/>
    <m/>
    <m/>
    <m/>
    <m/>
    <m/>
  </r>
  <r>
    <x v="2"/>
    <s v="Agent_3"/>
    <s v="Tuesday"/>
    <s v="Morning"/>
    <x v="2"/>
    <n v="68"/>
    <n v="4.42"/>
    <x v="12"/>
    <n v="0.86"/>
    <n v="4.62"/>
    <x v="0"/>
    <n v="21.63"/>
    <s v="Low"/>
    <m/>
    <m/>
    <m/>
    <m/>
    <m/>
    <m/>
    <m/>
    <m/>
    <m/>
    <m/>
    <m/>
    <m/>
    <m/>
  </r>
  <r>
    <x v="2"/>
    <s v="Agent_3"/>
    <s v="Tuesday"/>
    <s v="Afternoon"/>
    <x v="2"/>
    <n v="76"/>
    <n v="6.14"/>
    <x v="1"/>
    <n v="0.77"/>
    <n v="4"/>
    <x v="0"/>
    <n v="24.21"/>
    <s v="Low"/>
    <m/>
    <m/>
    <m/>
    <m/>
    <m/>
    <m/>
    <m/>
    <m/>
    <m/>
    <m/>
    <m/>
    <m/>
    <m/>
  </r>
  <r>
    <x v="2"/>
    <s v="Agent_3"/>
    <s v="Tuesday"/>
    <s v="Evening"/>
    <x v="0"/>
    <n v="48"/>
    <n v="5.39"/>
    <x v="0"/>
    <n v="0.74"/>
    <n v="4.67"/>
    <x v="0"/>
    <n v="23.08"/>
    <s v="Low"/>
    <m/>
    <m/>
    <m/>
    <m/>
    <m/>
    <m/>
    <m/>
    <m/>
    <m/>
    <m/>
    <m/>
    <m/>
    <m/>
  </r>
  <r>
    <x v="2"/>
    <s v="Agent_3"/>
    <s v="Wednesday"/>
    <s v="Morning"/>
    <x v="0"/>
    <n v="70"/>
    <n v="6.17"/>
    <x v="1"/>
    <n v="0.8"/>
    <n v="4.2699999999999996"/>
    <x v="0"/>
    <n v="24.26"/>
    <s v="Low"/>
    <m/>
    <m/>
    <m/>
    <m/>
    <m/>
    <m/>
    <m/>
    <m/>
    <m/>
    <m/>
    <m/>
    <m/>
    <m/>
  </r>
  <r>
    <x v="2"/>
    <s v="Agent_3"/>
    <s v="Wednesday"/>
    <s v="Afternoon"/>
    <x v="0"/>
    <n v="38"/>
    <n v="6.44"/>
    <x v="0"/>
    <n v="0.88"/>
    <n v="4.4400000000000004"/>
    <x v="0"/>
    <n v="24.66"/>
    <s v="Low"/>
    <m/>
    <m/>
    <m/>
    <m/>
    <m/>
    <m/>
    <m/>
    <m/>
    <m/>
    <m/>
    <m/>
    <m/>
    <m/>
  </r>
  <r>
    <x v="2"/>
    <s v="Agent_3"/>
    <s v="Wednesday"/>
    <s v="Evening"/>
    <x v="2"/>
    <n v="67"/>
    <n v="6.56"/>
    <x v="7"/>
    <n v="0.71"/>
    <n v="3.61"/>
    <x v="0"/>
    <n v="24.84"/>
    <s v="Low"/>
    <m/>
    <m/>
    <m/>
    <m/>
    <m/>
    <m/>
    <m/>
    <m/>
    <m/>
    <m/>
    <m/>
    <m/>
    <m/>
  </r>
  <r>
    <x v="2"/>
    <s v="Agent_3"/>
    <s v="Thursday"/>
    <s v="Morning"/>
    <x v="2"/>
    <n v="78"/>
    <n v="6.92"/>
    <x v="2"/>
    <n v="0.82"/>
    <n v="4.5599999999999996"/>
    <x v="0"/>
    <n v="25.38"/>
    <s v="Low"/>
    <m/>
    <m/>
    <m/>
    <m/>
    <m/>
    <m/>
    <m/>
    <m/>
    <m/>
    <m/>
    <m/>
    <m/>
    <m/>
  </r>
  <r>
    <x v="2"/>
    <s v="Agent_3"/>
    <s v="Thursday"/>
    <s v="Afternoon"/>
    <x v="0"/>
    <n v="72"/>
    <n v="7.84"/>
    <x v="22"/>
    <n v="0.8"/>
    <n v="4.53"/>
    <x v="0"/>
    <n v="26.76"/>
    <s v="Low"/>
    <m/>
    <m/>
    <m/>
    <m/>
    <m/>
    <m/>
    <m/>
    <m/>
    <m/>
    <m/>
    <m/>
    <m/>
    <m/>
  </r>
  <r>
    <x v="2"/>
    <s v="Agent_3"/>
    <s v="Thursday"/>
    <s v="Evening"/>
    <x v="2"/>
    <n v="32"/>
    <n v="5.25"/>
    <x v="3"/>
    <n v="0.74"/>
    <n v="4.49"/>
    <x v="0"/>
    <n v="22.88"/>
    <s v="Low"/>
    <m/>
    <m/>
    <m/>
    <m/>
    <m/>
    <m/>
    <m/>
    <m/>
    <m/>
    <m/>
    <m/>
    <m/>
    <m/>
  </r>
  <r>
    <x v="2"/>
    <s v="Agent_3"/>
    <s v="Friday"/>
    <s v="Morning"/>
    <x v="2"/>
    <n v="61"/>
    <n v="7.3"/>
    <x v="1"/>
    <n v="0.85"/>
    <n v="3.99"/>
    <x v="0"/>
    <n v="25.95"/>
    <s v="Low"/>
    <m/>
    <m/>
    <m/>
    <m/>
    <m/>
    <m/>
    <m/>
    <m/>
    <m/>
    <m/>
    <m/>
    <m/>
    <m/>
  </r>
  <r>
    <x v="2"/>
    <s v="Agent_3"/>
    <s v="Friday"/>
    <s v="Afternoon"/>
    <x v="0"/>
    <n v="33"/>
    <n v="4.34"/>
    <x v="4"/>
    <n v="0.86"/>
    <n v="4.7300000000000004"/>
    <x v="0"/>
    <n v="21.51"/>
    <s v="Low"/>
    <m/>
    <m/>
    <m/>
    <m/>
    <m/>
    <m/>
    <m/>
    <m/>
    <m/>
    <m/>
    <m/>
    <m/>
    <m/>
  </r>
  <r>
    <x v="2"/>
    <s v="Agent_3"/>
    <s v="Friday"/>
    <s v="Evening"/>
    <x v="0"/>
    <n v="47"/>
    <n v="4.59"/>
    <x v="4"/>
    <n v="0.7"/>
    <n v="3.9"/>
    <x v="2"/>
    <n v="23.88"/>
    <s v="Low"/>
    <m/>
    <m/>
    <m/>
    <m/>
    <m/>
    <m/>
    <m/>
    <m/>
    <m/>
    <m/>
    <m/>
    <m/>
    <m/>
  </r>
  <r>
    <x v="2"/>
    <s v="Agent_4"/>
    <s v="Monday"/>
    <s v="Morning"/>
    <x v="0"/>
    <n v="63"/>
    <n v="7.21"/>
    <x v="13"/>
    <n v="0.84"/>
    <n v="4.2300000000000004"/>
    <x v="0"/>
    <n v="25.82"/>
    <s v="Low"/>
    <m/>
    <m/>
    <m/>
    <m/>
    <m/>
    <m/>
    <m/>
    <m/>
    <m/>
    <m/>
    <m/>
    <m/>
    <m/>
  </r>
  <r>
    <x v="2"/>
    <s v="Agent_4"/>
    <s v="Monday"/>
    <s v="Afternoon"/>
    <x v="1"/>
    <n v="79"/>
    <n v="5.53"/>
    <x v="11"/>
    <n v="0.89"/>
    <n v="4"/>
    <x v="0"/>
    <n v="23.3"/>
    <s v="Low"/>
    <m/>
    <m/>
    <m/>
    <m/>
    <m/>
    <m/>
    <m/>
    <m/>
    <m/>
    <m/>
    <m/>
    <m/>
    <m/>
  </r>
  <r>
    <x v="2"/>
    <s v="Agent_4"/>
    <s v="Monday"/>
    <s v="Evening"/>
    <x v="1"/>
    <n v="56"/>
    <n v="5.99"/>
    <x v="7"/>
    <n v="0.61"/>
    <n v="4.4800000000000004"/>
    <x v="0"/>
    <n v="23.98"/>
    <s v="Low"/>
    <m/>
    <m/>
    <m/>
    <m/>
    <m/>
    <m/>
    <m/>
    <m/>
    <m/>
    <m/>
    <m/>
    <m/>
    <m/>
  </r>
  <r>
    <x v="2"/>
    <s v="Agent_4"/>
    <s v="Tuesday"/>
    <s v="Morning"/>
    <x v="1"/>
    <n v="66"/>
    <n v="5.59"/>
    <x v="12"/>
    <n v="0.82"/>
    <n v="4.08"/>
    <x v="3"/>
    <n v="29.38"/>
    <s v="High"/>
    <m/>
    <m/>
    <m/>
    <m/>
    <m/>
    <m/>
    <m/>
    <m/>
    <m/>
    <m/>
    <m/>
    <m/>
    <m/>
  </r>
  <r>
    <x v="2"/>
    <s v="Agent_4"/>
    <s v="Tuesday"/>
    <s v="Afternoon"/>
    <x v="0"/>
    <n v="58"/>
    <n v="7.07"/>
    <x v="22"/>
    <n v="0.89"/>
    <n v="4.01"/>
    <x v="0"/>
    <n v="25.6"/>
    <s v="Low"/>
    <m/>
    <m/>
    <m/>
    <m/>
    <m/>
    <m/>
    <m/>
    <m/>
    <m/>
    <m/>
    <m/>
    <m/>
    <m/>
  </r>
  <r>
    <x v="2"/>
    <s v="Agent_4"/>
    <s v="Tuesday"/>
    <s v="Evening"/>
    <x v="0"/>
    <n v="33"/>
    <n v="5.98"/>
    <x v="7"/>
    <n v="0.64"/>
    <n v="3.82"/>
    <x v="1"/>
    <n v="27.97"/>
    <s v="High"/>
    <m/>
    <m/>
    <m/>
    <m/>
    <m/>
    <m/>
    <m/>
    <m/>
    <m/>
    <m/>
    <m/>
    <m/>
    <m/>
  </r>
  <r>
    <x v="2"/>
    <s v="Agent_4"/>
    <s v="Wednesday"/>
    <s v="Morning"/>
    <x v="0"/>
    <n v="63"/>
    <n v="6.4"/>
    <x v="2"/>
    <n v="0.78"/>
    <n v="3.57"/>
    <x v="0"/>
    <n v="24.6"/>
    <s v="Low"/>
    <m/>
    <m/>
    <m/>
    <m/>
    <m/>
    <m/>
    <m/>
    <m/>
    <m/>
    <m/>
    <m/>
    <m/>
    <m/>
  </r>
  <r>
    <x v="2"/>
    <s v="Agent_4"/>
    <s v="Wednesday"/>
    <s v="Afternoon"/>
    <x v="1"/>
    <n v="73"/>
    <n v="6.17"/>
    <x v="7"/>
    <n v="0.84"/>
    <n v="4.8"/>
    <x v="0"/>
    <n v="24.26"/>
    <s v="Low"/>
    <m/>
    <m/>
    <m/>
    <m/>
    <m/>
    <m/>
    <m/>
    <m/>
    <m/>
    <m/>
    <m/>
    <m/>
    <m/>
  </r>
  <r>
    <x v="2"/>
    <s v="Agent_4"/>
    <s v="Wednesday"/>
    <s v="Evening"/>
    <x v="2"/>
    <n v="65"/>
    <n v="7.26"/>
    <x v="8"/>
    <n v="0.85"/>
    <n v="4.6399999999999997"/>
    <x v="2"/>
    <n v="27.89"/>
    <s v="High"/>
    <m/>
    <m/>
    <m/>
    <m/>
    <m/>
    <m/>
    <m/>
    <m/>
    <m/>
    <m/>
    <m/>
    <m/>
    <m/>
  </r>
  <r>
    <x v="2"/>
    <s v="Agent_4"/>
    <s v="Thursday"/>
    <s v="Morning"/>
    <x v="0"/>
    <n v="48"/>
    <n v="5.55"/>
    <x v="4"/>
    <n v="0.82"/>
    <n v="4.21"/>
    <x v="0"/>
    <n v="23.32"/>
    <s v="Low"/>
    <m/>
    <m/>
    <m/>
    <m/>
    <m/>
    <m/>
    <m/>
    <m/>
    <m/>
    <m/>
    <m/>
    <m/>
    <m/>
  </r>
  <r>
    <x v="2"/>
    <s v="Agent_4"/>
    <s v="Thursday"/>
    <s v="Afternoon"/>
    <x v="2"/>
    <n v="63"/>
    <n v="4.72"/>
    <x v="1"/>
    <n v="0.83"/>
    <n v="4.63"/>
    <x v="0"/>
    <n v="22.08"/>
    <s v="Low"/>
    <m/>
    <m/>
    <m/>
    <m/>
    <m/>
    <m/>
    <m/>
    <m/>
    <m/>
    <m/>
    <m/>
    <m/>
    <m/>
  </r>
  <r>
    <x v="2"/>
    <s v="Agent_4"/>
    <s v="Thursday"/>
    <s v="Evening"/>
    <x v="2"/>
    <n v="57"/>
    <n v="6.16"/>
    <x v="3"/>
    <n v="0.61"/>
    <n v="4.76"/>
    <x v="1"/>
    <n v="28.24"/>
    <s v="High"/>
    <m/>
    <m/>
    <m/>
    <m/>
    <m/>
    <m/>
    <m/>
    <m/>
    <m/>
    <m/>
    <m/>
    <m/>
    <m/>
  </r>
  <r>
    <x v="2"/>
    <s v="Agent_4"/>
    <s v="Friday"/>
    <s v="Morning"/>
    <x v="0"/>
    <n v="73"/>
    <n v="5.61"/>
    <x v="3"/>
    <n v="0.88"/>
    <n v="4.2699999999999996"/>
    <x v="0"/>
    <n v="23.42"/>
    <s v="Low"/>
    <m/>
    <m/>
    <m/>
    <m/>
    <m/>
    <m/>
    <m/>
    <m/>
    <m/>
    <m/>
    <m/>
    <m/>
    <m/>
  </r>
  <r>
    <x v="2"/>
    <s v="Agent_4"/>
    <s v="Friday"/>
    <s v="Afternoon"/>
    <x v="1"/>
    <n v="62"/>
    <n v="4.1900000000000004"/>
    <x v="25"/>
    <n v="0.89"/>
    <n v="3.97"/>
    <x v="2"/>
    <n v="23.28"/>
    <s v="Low"/>
    <m/>
    <m/>
    <m/>
    <m/>
    <m/>
    <m/>
    <m/>
    <m/>
    <m/>
    <m/>
    <m/>
    <m/>
    <m/>
  </r>
  <r>
    <x v="2"/>
    <s v="Agent_4"/>
    <s v="Friday"/>
    <s v="Evening"/>
    <x v="2"/>
    <n v="56"/>
    <n v="7.94"/>
    <x v="8"/>
    <n v="0.81"/>
    <n v="4.49"/>
    <x v="0"/>
    <n v="26.91"/>
    <s v="Low"/>
    <m/>
    <m/>
    <m/>
    <m/>
    <m/>
    <m/>
    <m/>
    <m/>
    <m/>
    <m/>
    <m/>
    <m/>
    <m/>
  </r>
  <r>
    <x v="2"/>
    <s v="Agent_5"/>
    <s v="Monday"/>
    <s v="Morning"/>
    <x v="2"/>
    <n v="77"/>
    <n v="4.9800000000000004"/>
    <x v="22"/>
    <n v="0.79"/>
    <n v="3.54"/>
    <x v="3"/>
    <n v="28.47"/>
    <s v="High"/>
    <m/>
    <m/>
    <m/>
    <m/>
    <m/>
    <m/>
    <m/>
    <m/>
    <m/>
    <m/>
    <m/>
    <m/>
    <m/>
  </r>
  <r>
    <x v="2"/>
    <s v="Agent_5"/>
    <s v="Monday"/>
    <s v="Afternoon"/>
    <x v="1"/>
    <n v="45"/>
    <n v="5.21"/>
    <x v="23"/>
    <n v="0.89"/>
    <n v="3.54"/>
    <x v="1"/>
    <n v="26.82"/>
    <s v="Low"/>
    <m/>
    <m/>
    <m/>
    <m/>
    <m/>
    <m/>
    <m/>
    <m/>
    <m/>
    <m/>
    <m/>
    <m/>
    <m/>
  </r>
  <r>
    <x v="2"/>
    <s v="Agent_5"/>
    <s v="Monday"/>
    <s v="Evening"/>
    <x v="0"/>
    <n v="50"/>
    <n v="7.15"/>
    <x v="22"/>
    <n v="0.65"/>
    <n v="4.74"/>
    <x v="0"/>
    <n v="25.72"/>
    <s v="Low"/>
    <m/>
    <m/>
    <m/>
    <m/>
    <m/>
    <m/>
    <m/>
    <m/>
    <m/>
    <m/>
    <m/>
    <m/>
    <m/>
  </r>
  <r>
    <x v="2"/>
    <s v="Agent_5"/>
    <s v="Tuesday"/>
    <s v="Morning"/>
    <x v="2"/>
    <n v="37"/>
    <n v="5.47"/>
    <x v="6"/>
    <n v="0.76"/>
    <n v="3.5"/>
    <x v="0"/>
    <n v="23.2"/>
    <s v="Low"/>
    <m/>
    <m/>
    <m/>
    <m/>
    <m/>
    <m/>
    <m/>
    <m/>
    <m/>
    <m/>
    <m/>
    <m/>
    <m/>
  </r>
  <r>
    <x v="2"/>
    <s v="Agent_5"/>
    <s v="Tuesday"/>
    <s v="Afternoon"/>
    <x v="0"/>
    <n v="66"/>
    <n v="5.36"/>
    <x v="9"/>
    <n v="0.87"/>
    <n v="4.3600000000000003"/>
    <x v="2"/>
    <n v="25.04"/>
    <s v="Low"/>
    <m/>
    <m/>
    <m/>
    <m/>
    <m/>
    <m/>
    <m/>
    <m/>
    <m/>
    <m/>
    <m/>
    <m/>
    <m/>
  </r>
  <r>
    <x v="2"/>
    <s v="Agent_5"/>
    <s v="Tuesday"/>
    <s v="Evening"/>
    <x v="2"/>
    <n v="31"/>
    <n v="6.43"/>
    <x v="4"/>
    <n v="0.7"/>
    <n v="4.4400000000000004"/>
    <x v="0"/>
    <n v="24.64"/>
    <s v="Low"/>
    <m/>
    <m/>
    <m/>
    <m/>
    <m/>
    <m/>
    <m/>
    <m/>
    <m/>
    <m/>
    <m/>
    <m/>
    <m/>
  </r>
  <r>
    <x v="2"/>
    <s v="Agent_5"/>
    <s v="Wednesday"/>
    <s v="Morning"/>
    <x v="0"/>
    <n v="60"/>
    <n v="5.81"/>
    <x v="4"/>
    <n v="0.87"/>
    <n v="4.7300000000000004"/>
    <x v="0"/>
    <n v="23.72"/>
    <s v="Low"/>
    <m/>
    <m/>
    <m/>
    <m/>
    <m/>
    <m/>
    <m/>
    <m/>
    <m/>
    <m/>
    <m/>
    <m/>
    <m/>
  </r>
  <r>
    <x v="2"/>
    <s v="Agent_5"/>
    <s v="Wednesday"/>
    <s v="Afternoon"/>
    <x v="2"/>
    <n v="67"/>
    <n v="5.45"/>
    <x v="22"/>
    <n v="0.76"/>
    <n v="4.1500000000000004"/>
    <x v="2"/>
    <n v="25.18"/>
    <s v="Low"/>
    <m/>
    <m/>
    <m/>
    <m/>
    <m/>
    <m/>
    <m/>
    <m/>
    <m/>
    <m/>
    <m/>
    <m/>
    <m/>
  </r>
  <r>
    <x v="2"/>
    <s v="Agent_5"/>
    <s v="Wednesday"/>
    <s v="Evening"/>
    <x v="2"/>
    <n v="31"/>
    <n v="5.84"/>
    <x v="22"/>
    <n v="0.66"/>
    <n v="3.87"/>
    <x v="1"/>
    <n v="27.76"/>
    <s v="High"/>
    <m/>
    <m/>
    <m/>
    <m/>
    <m/>
    <m/>
    <m/>
    <m/>
    <m/>
    <m/>
    <m/>
    <m/>
    <m/>
  </r>
  <r>
    <x v="2"/>
    <s v="Agent_5"/>
    <s v="Thursday"/>
    <s v="Morning"/>
    <x v="2"/>
    <n v="56"/>
    <n v="5.29"/>
    <x v="15"/>
    <n v="0.84"/>
    <n v="4.59"/>
    <x v="0"/>
    <n v="22.94"/>
    <s v="Low"/>
    <m/>
    <m/>
    <m/>
    <m/>
    <m/>
    <m/>
    <m/>
    <m/>
    <m/>
    <m/>
    <m/>
    <m/>
    <m/>
  </r>
  <r>
    <x v="2"/>
    <s v="Agent_5"/>
    <s v="Thursday"/>
    <s v="Afternoon"/>
    <x v="1"/>
    <n v="42"/>
    <n v="4.3499999999999996"/>
    <x v="28"/>
    <n v="0.77"/>
    <n v="4.66"/>
    <x v="0"/>
    <n v="21.52"/>
    <s v="Low"/>
    <m/>
    <m/>
    <m/>
    <m/>
    <m/>
    <m/>
    <m/>
    <m/>
    <m/>
    <m/>
    <m/>
    <m/>
    <m/>
  </r>
  <r>
    <x v="2"/>
    <s v="Agent_5"/>
    <s v="Thursday"/>
    <s v="Evening"/>
    <x v="0"/>
    <n v="39"/>
    <n v="7.2"/>
    <x v="13"/>
    <n v="0.74"/>
    <n v="4.33"/>
    <x v="0"/>
    <n v="25.8"/>
    <s v="Low"/>
    <m/>
    <m/>
    <m/>
    <m/>
    <m/>
    <m/>
    <m/>
    <m/>
    <m/>
    <m/>
    <m/>
    <m/>
    <m/>
  </r>
  <r>
    <x v="2"/>
    <s v="Agent_5"/>
    <s v="Friday"/>
    <s v="Morning"/>
    <x v="0"/>
    <n v="75"/>
    <n v="6.48"/>
    <x v="7"/>
    <n v="0.83"/>
    <n v="3.69"/>
    <x v="2"/>
    <n v="26.72"/>
    <s v="Low"/>
    <m/>
    <m/>
    <m/>
    <m/>
    <m/>
    <m/>
    <m/>
    <m/>
    <m/>
    <m/>
    <m/>
    <m/>
    <m/>
  </r>
  <r>
    <x v="2"/>
    <s v="Agent_5"/>
    <s v="Friday"/>
    <s v="Afternoon"/>
    <x v="1"/>
    <n v="60"/>
    <n v="6.51"/>
    <x v="9"/>
    <n v="0.77"/>
    <n v="4.32"/>
    <x v="0"/>
    <n v="24.76"/>
    <s v="Low"/>
    <m/>
    <m/>
    <m/>
    <m/>
    <m/>
    <m/>
    <m/>
    <m/>
    <m/>
    <m/>
    <m/>
    <m/>
    <m/>
  </r>
  <r>
    <x v="2"/>
    <s v="Agent_5"/>
    <s v="Friday"/>
    <s v="Evening"/>
    <x v="2"/>
    <n v="44"/>
    <n v="6.71"/>
    <x v="0"/>
    <n v="0.82"/>
    <n v="4.26"/>
    <x v="0"/>
    <n v="25.06"/>
    <s v="Low"/>
    <m/>
    <m/>
    <m/>
    <m/>
    <m/>
    <m/>
    <m/>
    <m/>
    <m/>
    <m/>
    <m/>
    <m/>
    <m/>
  </r>
  <r>
    <x v="2"/>
    <s v="Agent_6"/>
    <s v="Monday"/>
    <s v="Morning"/>
    <x v="0"/>
    <n v="73"/>
    <n v="6.93"/>
    <x v="9"/>
    <n v="0.8"/>
    <n v="3.63"/>
    <x v="0"/>
    <n v="25.4"/>
    <s v="Low"/>
    <m/>
    <m/>
    <m/>
    <m/>
    <m/>
    <m/>
    <m/>
    <m/>
    <m/>
    <m/>
    <m/>
    <m/>
    <m/>
  </r>
  <r>
    <x v="2"/>
    <s v="Agent_6"/>
    <s v="Monday"/>
    <s v="Afternoon"/>
    <x v="1"/>
    <n v="56"/>
    <n v="6.21"/>
    <x v="17"/>
    <n v="0.89"/>
    <n v="4.05"/>
    <x v="0"/>
    <n v="24.32"/>
    <s v="Low"/>
    <m/>
    <m/>
    <m/>
    <m/>
    <m/>
    <m/>
    <m/>
    <m/>
    <m/>
    <m/>
    <m/>
    <m/>
    <m/>
  </r>
  <r>
    <x v="2"/>
    <s v="Agent_6"/>
    <s v="Monday"/>
    <s v="Evening"/>
    <x v="2"/>
    <n v="66"/>
    <n v="7.06"/>
    <x v="5"/>
    <n v="0.61"/>
    <n v="4.2300000000000004"/>
    <x v="1"/>
    <n v="29.59"/>
    <s v="High"/>
    <m/>
    <m/>
    <m/>
    <m/>
    <m/>
    <m/>
    <m/>
    <m/>
    <m/>
    <m/>
    <m/>
    <m/>
    <m/>
  </r>
  <r>
    <x v="2"/>
    <s v="Agent_6"/>
    <s v="Tuesday"/>
    <s v="Morning"/>
    <x v="2"/>
    <n v="39"/>
    <n v="5.59"/>
    <x v="13"/>
    <n v="0.78"/>
    <n v="3.86"/>
    <x v="0"/>
    <n v="23.38"/>
    <s v="Low"/>
    <m/>
    <m/>
    <m/>
    <m/>
    <m/>
    <m/>
    <m/>
    <m/>
    <m/>
    <m/>
    <m/>
    <m/>
    <m/>
  </r>
  <r>
    <x v="2"/>
    <s v="Agent_6"/>
    <s v="Tuesday"/>
    <s v="Afternoon"/>
    <x v="0"/>
    <n v="54"/>
    <n v="5.39"/>
    <x v="22"/>
    <n v="0.77"/>
    <n v="4.5199999999999996"/>
    <x v="2"/>
    <n v="25.08"/>
    <s v="Low"/>
    <m/>
    <m/>
    <m/>
    <m/>
    <m/>
    <m/>
    <m/>
    <m/>
    <m/>
    <m/>
    <m/>
    <m/>
    <m/>
  </r>
  <r>
    <x v="2"/>
    <s v="Agent_6"/>
    <s v="Tuesday"/>
    <s v="Evening"/>
    <x v="1"/>
    <n v="66"/>
    <n v="3.57"/>
    <x v="21"/>
    <n v="0.72"/>
    <n v="3.64"/>
    <x v="2"/>
    <n v="22.36"/>
    <s v="Low"/>
    <m/>
    <m/>
    <m/>
    <m/>
    <m/>
    <m/>
    <m/>
    <m/>
    <m/>
    <m/>
    <m/>
    <m/>
    <m/>
  </r>
  <r>
    <x v="2"/>
    <s v="Agent_6"/>
    <s v="Wednesday"/>
    <s v="Morning"/>
    <x v="2"/>
    <n v="70"/>
    <n v="5.97"/>
    <x v="4"/>
    <n v="0.87"/>
    <n v="4.04"/>
    <x v="1"/>
    <n v="27.96"/>
    <s v="High"/>
    <m/>
    <m/>
    <m/>
    <m/>
    <m/>
    <m/>
    <m/>
    <m/>
    <m/>
    <m/>
    <m/>
    <m/>
    <m/>
  </r>
  <r>
    <x v="2"/>
    <s v="Agent_6"/>
    <s v="Wednesday"/>
    <s v="Afternoon"/>
    <x v="2"/>
    <n v="45"/>
    <n v="6.93"/>
    <x v="1"/>
    <n v="0.85"/>
    <n v="4.54"/>
    <x v="2"/>
    <n v="27.4"/>
    <s v="Low"/>
    <m/>
    <m/>
    <m/>
    <m/>
    <m/>
    <m/>
    <m/>
    <m/>
    <m/>
    <m/>
    <m/>
    <m/>
    <m/>
  </r>
  <r>
    <x v="2"/>
    <s v="Agent_6"/>
    <s v="Wednesday"/>
    <s v="Evening"/>
    <x v="1"/>
    <n v="38"/>
    <n v="5.67"/>
    <x v="3"/>
    <n v="0.76"/>
    <n v="4.46"/>
    <x v="0"/>
    <n v="23.5"/>
    <s v="Low"/>
    <m/>
    <m/>
    <m/>
    <m/>
    <m/>
    <m/>
    <m/>
    <m/>
    <m/>
    <m/>
    <m/>
    <m/>
    <m/>
  </r>
  <r>
    <x v="2"/>
    <s v="Agent_6"/>
    <s v="Thursday"/>
    <s v="Morning"/>
    <x v="0"/>
    <n v="50"/>
    <n v="5.66"/>
    <x v="0"/>
    <n v="0.76"/>
    <n v="3.56"/>
    <x v="2"/>
    <n v="25.49"/>
    <s v="Low"/>
    <m/>
    <m/>
    <m/>
    <m/>
    <m/>
    <m/>
    <m/>
    <m/>
    <m/>
    <m/>
    <m/>
    <m/>
    <m/>
  </r>
  <r>
    <x v="2"/>
    <s v="Agent_6"/>
    <s v="Thursday"/>
    <s v="Afternoon"/>
    <x v="2"/>
    <n v="39"/>
    <n v="7.96"/>
    <x v="7"/>
    <n v="0.76"/>
    <n v="4.3899999999999997"/>
    <x v="0"/>
    <n v="26.94"/>
    <s v="Low"/>
    <m/>
    <m/>
    <m/>
    <m/>
    <m/>
    <m/>
    <m/>
    <m/>
    <m/>
    <m/>
    <m/>
    <m/>
    <m/>
  </r>
  <r>
    <x v="2"/>
    <s v="Agent_6"/>
    <s v="Thursday"/>
    <s v="Evening"/>
    <x v="2"/>
    <n v="31"/>
    <n v="5.78"/>
    <x v="8"/>
    <n v="0.73"/>
    <n v="4.2699999999999996"/>
    <x v="0"/>
    <n v="23.67"/>
    <s v="Low"/>
    <m/>
    <m/>
    <m/>
    <m/>
    <m/>
    <m/>
    <m/>
    <m/>
    <m/>
    <m/>
    <m/>
    <m/>
    <m/>
  </r>
  <r>
    <x v="2"/>
    <s v="Agent_6"/>
    <s v="Friday"/>
    <s v="Morning"/>
    <x v="0"/>
    <n v="65"/>
    <n v="3.36"/>
    <x v="4"/>
    <n v="0.81"/>
    <n v="4.49"/>
    <x v="0"/>
    <n v="20.04"/>
    <s v="Low"/>
    <m/>
    <m/>
    <m/>
    <m/>
    <m/>
    <m/>
    <m/>
    <m/>
    <m/>
    <m/>
    <m/>
    <m/>
    <m/>
  </r>
  <r>
    <x v="2"/>
    <s v="Agent_6"/>
    <s v="Friday"/>
    <s v="Afternoon"/>
    <x v="1"/>
    <n v="46"/>
    <n v="6.44"/>
    <x v="3"/>
    <n v="0.75"/>
    <n v="4.5"/>
    <x v="1"/>
    <n v="28.66"/>
    <s v="High"/>
    <m/>
    <m/>
    <m/>
    <m/>
    <m/>
    <m/>
    <m/>
    <m/>
    <m/>
    <m/>
    <m/>
    <m/>
    <m/>
  </r>
  <r>
    <x v="2"/>
    <s v="Agent_6"/>
    <s v="Friday"/>
    <s v="Evening"/>
    <x v="1"/>
    <n v="35"/>
    <n v="6.02"/>
    <x v="19"/>
    <n v="0.68"/>
    <n v="3.94"/>
    <x v="2"/>
    <n v="26.03"/>
    <s v="Low"/>
    <m/>
    <m/>
    <m/>
    <m/>
    <m/>
    <m/>
    <m/>
    <m/>
    <m/>
    <m/>
    <m/>
    <m/>
    <m/>
  </r>
  <r>
    <x v="2"/>
    <s v="Agent_7"/>
    <s v="Monday"/>
    <s v="Morning"/>
    <x v="1"/>
    <n v="41"/>
    <n v="6.16"/>
    <x v="18"/>
    <n v="0.75"/>
    <n v="4.67"/>
    <x v="2"/>
    <n v="26.24"/>
    <s v="Low"/>
    <m/>
    <m/>
    <m/>
    <m/>
    <m/>
    <m/>
    <m/>
    <m/>
    <m/>
    <m/>
    <m/>
    <m/>
    <m/>
  </r>
  <r>
    <x v="2"/>
    <s v="Agent_7"/>
    <s v="Monday"/>
    <s v="Afternoon"/>
    <x v="2"/>
    <n v="37"/>
    <n v="6.05"/>
    <x v="2"/>
    <n v="0.77"/>
    <n v="4.67"/>
    <x v="2"/>
    <n v="26.08"/>
    <s v="Low"/>
    <m/>
    <m/>
    <m/>
    <m/>
    <m/>
    <m/>
    <m/>
    <m/>
    <m/>
    <m/>
    <m/>
    <m/>
    <m/>
  </r>
  <r>
    <x v="2"/>
    <s v="Agent_7"/>
    <s v="Monday"/>
    <s v="Evening"/>
    <x v="2"/>
    <n v="63"/>
    <n v="7.67"/>
    <x v="3"/>
    <n v="0.61"/>
    <n v="4.75"/>
    <x v="1"/>
    <n v="30.5"/>
    <s v="High"/>
    <m/>
    <m/>
    <m/>
    <m/>
    <m/>
    <m/>
    <m/>
    <m/>
    <m/>
    <m/>
    <m/>
    <m/>
    <m/>
  </r>
  <r>
    <x v="2"/>
    <s v="Agent_7"/>
    <s v="Tuesday"/>
    <s v="Morning"/>
    <x v="2"/>
    <n v="61"/>
    <n v="5.89"/>
    <x v="0"/>
    <n v="0.85"/>
    <n v="4.2300000000000004"/>
    <x v="2"/>
    <n v="25.84"/>
    <s v="Low"/>
    <m/>
    <m/>
    <m/>
    <m/>
    <m/>
    <m/>
    <m/>
    <m/>
    <m/>
    <m/>
    <m/>
    <m/>
    <m/>
  </r>
  <r>
    <x v="2"/>
    <s v="Agent_7"/>
    <s v="Tuesday"/>
    <s v="Afternoon"/>
    <x v="1"/>
    <n v="55"/>
    <n v="5.62"/>
    <x v="28"/>
    <n v="0.87"/>
    <n v="4.25"/>
    <x v="0"/>
    <n v="23.43"/>
    <s v="Low"/>
    <m/>
    <m/>
    <m/>
    <m/>
    <m/>
    <m/>
    <m/>
    <m/>
    <m/>
    <m/>
    <m/>
    <m/>
    <m/>
  </r>
  <r>
    <x v="2"/>
    <s v="Agent_7"/>
    <s v="Tuesday"/>
    <s v="Evening"/>
    <x v="2"/>
    <n v="69"/>
    <n v="5.68"/>
    <x v="12"/>
    <n v="0.64"/>
    <n v="4.34"/>
    <x v="1"/>
    <n v="27.52"/>
    <s v="Low"/>
    <m/>
    <m/>
    <m/>
    <m/>
    <m/>
    <m/>
    <m/>
    <m/>
    <m/>
    <m/>
    <m/>
    <m/>
    <m/>
  </r>
  <r>
    <x v="2"/>
    <s v="Agent_7"/>
    <s v="Wednesday"/>
    <s v="Morning"/>
    <x v="2"/>
    <n v="67"/>
    <n v="5.74"/>
    <x v="12"/>
    <n v="0.86"/>
    <n v="3.58"/>
    <x v="0"/>
    <n v="23.61"/>
    <s v="Low"/>
    <m/>
    <m/>
    <m/>
    <m/>
    <m/>
    <m/>
    <m/>
    <m/>
    <m/>
    <m/>
    <m/>
    <m/>
    <m/>
  </r>
  <r>
    <x v="2"/>
    <s v="Agent_7"/>
    <s v="Wednesday"/>
    <s v="Afternoon"/>
    <x v="1"/>
    <n v="70"/>
    <n v="4.16"/>
    <x v="19"/>
    <n v="0.77"/>
    <n v="4.75"/>
    <x v="0"/>
    <n v="21.24"/>
    <s v="Low"/>
    <m/>
    <m/>
    <m/>
    <m/>
    <m/>
    <m/>
    <m/>
    <m/>
    <m/>
    <m/>
    <m/>
    <m/>
    <m/>
  </r>
  <r>
    <x v="2"/>
    <s v="Agent_7"/>
    <s v="Wednesday"/>
    <s v="Evening"/>
    <x v="1"/>
    <n v="50"/>
    <n v="6.11"/>
    <x v="17"/>
    <n v="0.79"/>
    <n v="4.21"/>
    <x v="0"/>
    <n v="24.16"/>
    <s v="Low"/>
    <m/>
    <m/>
    <m/>
    <m/>
    <m/>
    <m/>
    <m/>
    <m/>
    <m/>
    <m/>
    <m/>
    <m/>
    <m/>
  </r>
  <r>
    <x v="2"/>
    <s v="Agent_7"/>
    <s v="Thursday"/>
    <s v="Morning"/>
    <x v="0"/>
    <n v="32"/>
    <n v="6.41"/>
    <x v="5"/>
    <n v="0.82"/>
    <n v="3.77"/>
    <x v="0"/>
    <n v="24.62"/>
    <s v="Low"/>
    <m/>
    <m/>
    <m/>
    <m/>
    <m/>
    <m/>
    <m/>
    <m/>
    <m/>
    <m/>
    <m/>
    <m/>
    <m/>
  </r>
  <r>
    <x v="2"/>
    <s v="Agent_7"/>
    <s v="Thursday"/>
    <s v="Afternoon"/>
    <x v="2"/>
    <n v="77"/>
    <n v="6.01"/>
    <x v="8"/>
    <n v="0.85"/>
    <n v="3.64"/>
    <x v="2"/>
    <n v="26.02"/>
    <s v="Low"/>
    <m/>
    <m/>
    <m/>
    <m/>
    <m/>
    <m/>
    <m/>
    <m/>
    <m/>
    <m/>
    <m/>
    <m/>
    <m/>
  </r>
  <r>
    <x v="2"/>
    <s v="Agent_7"/>
    <s v="Thursday"/>
    <s v="Evening"/>
    <x v="0"/>
    <n v="55"/>
    <n v="6.18"/>
    <x v="7"/>
    <n v="0.65"/>
    <n v="4.0999999999999996"/>
    <x v="1"/>
    <n v="28.27"/>
    <s v="High"/>
    <m/>
    <m/>
    <m/>
    <m/>
    <m/>
    <m/>
    <m/>
    <m/>
    <m/>
    <m/>
    <m/>
    <m/>
    <m/>
  </r>
  <r>
    <x v="2"/>
    <s v="Agent_7"/>
    <s v="Friday"/>
    <s v="Morning"/>
    <x v="1"/>
    <n v="67"/>
    <n v="6.16"/>
    <x v="0"/>
    <n v="0.87"/>
    <n v="4.68"/>
    <x v="1"/>
    <n v="28.24"/>
    <s v="High"/>
    <m/>
    <m/>
    <m/>
    <m/>
    <m/>
    <m/>
    <m/>
    <m/>
    <m/>
    <m/>
    <m/>
    <m/>
    <m/>
  </r>
  <r>
    <x v="2"/>
    <s v="Agent_7"/>
    <s v="Friday"/>
    <s v="Afternoon"/>
    <x v="2"/>
    <n v="45"/>
    <n v="6.04"/>
    <x v="6"/>
    <n v="0.86"/>
    <n v="3.71"/>
    <x v="0"/>
    <n v="24.06"/>
    <s v="Low"/>
    <m/>
    <m/>
    <m/>
    <m/>
    <m/>
    <m/>
    <m/>
    <m/>
    <m/>
    <m/>
    <m/>
    <m/>
    <m/>
  </r>
  <r>
    <x v="2"/>
    <s v="Agent_7"/>
    <s v="Friday"/>
    <s v="Evening"/>
    <x v="2"/>
    <n v="76"/>
    <n v="5.76"/>
    <x v="9"/>
    <n v="0.84"/>
    <n v="4.49"/>
    <x v="1"/>
    <n v="27.64"/>
    <s v="Low"/>
    <m/>
    <m/>
    <m/>
    <m/>
    <m/>
    <m/>
    <m/>
    <m/>
    <m/>
    <m/>
    <m/>
    <m/>
    <m/>
  </r>
  <r>
    <x v="2"/>
    <s v="Agent_8"/>
    <s v="Monday"/>
    <s v="Morning"/>
    <x v="0"/>
    <n v="66"/>
    <n v="4.45"/>
    <x v="15"/>
    <n v="0.8"/>
    <n v="4.7"/>
    <x v="0"/>
    <n v="21.68"/>
    <s v="Low"/>
    <m/>
    <m/>
    <m/>
    <m/>
    <m/>
    <m/>
    <m/>
    <m/>
    <m/>
    <m/>
    <m/>
    <m/>
    <m/>
  </r>
  <r>
    <x v="2"/>
    <s v="Agent_8"/>
    <s v="Monday"/>
    <s v="Afternoon"/>
    <x v="0"/>
    <n v="53"/>
    <n v="5.51"/>
    <x v="7"/>
    <n v="0.87"/>
    <n v="3.83"/>
    <x v="0"/>
    <n v="23.26"/>
    <s v="Low"/>
    <m/>
    <m/>
    <m/>
    <m/>
    <m/>
    <m/>
    <m/>
    <m/>
    <m/>
    <m/>
    <m/>
    <m/>
    <m/>
  </r>
  <r>
    <x v="2"/>
    <s v="Agent_8"/>
    <s v="Monday"/>
    <s v="Evening"/>
    <x v="0"/>
    <n v="73"/>
    <n v="6.47"/>
    <x v="1"/>
    <n v="0.63"/>
    <n v="3.88"/>
    <x v="0"/>
    <n v="24.7"/>
    <s v="Low"/>
    <m/>
    <m/>
    <m/>
    <m/>
    <m/>
    <m/>
    <m/>
    <m/>
    <m/>
    <m/>
    <m/>
    <m/>
    <m/>
  </r>
  <r>
    <x v="2"/>
    <s v="Agent_8"/>
    <s v="Tuesday"/>
    <s v="Morning"/>
    <x v="2"/>
    <n v="30"/>
    <n v="4.66"/>
    <x v="9"/>
    <n v="0.89"/>
    <n v="4.74"/>
    <x v="0"/>
    <n v="21.99"/>
    <s v="Low"/>
    <m/>
    <m/>
    <m/>
    <m/>
    <m/>
    <m/>
    <m/>
    <m/>
    <m/>
    <m/>
    <m/>
    <m/>
    <m/>
  </r>
  <r>
    <x v="2"/>
    <s v="Agent_8"/>
    <s v="Tuesday"/>
    <s v="Afternoon"/>
    <x v="0"/>
    <n v="47"/>
    <n v="4.4000000000000004"/>
    <x v="6"/>
    <n v="0.81"/>
    <n v="4.25"/>
    <x v="0"/>
    <n v="21.6"/>
    <s v="Low"/>
    <m/>
    <m/>
    <m/>
    <m/>
    <m/>
    <m/>
    <m/>
    <m/>
    <m/>
    <m/>
    <m/>
    <m/>
    <m/>
  </r>
  <r>
    <x v="2"/>
    <s v="Agent_8"/>
    <s v="Tuesday"/>
    <s v="Evening"/>
    <x v="2"/>
    <n v="30"/>
    <n v="6.01"/>
    <x v="2"/>
    <n v="0.61"/>
    <n v="3.55"/>
    <x v="0"/>
    <n v="24.02"/>
    <s v="Low"/>
    <m/>
    <m/>
    <m/>
    <m/>
    <m/>
    <m/>
    <m/>
    <m/>
    <m/>
    <m/>
    <m/>
    <m/>
    <m/>
  </r>
  <r>
    <x v="2"/>
    <s v="Agent_8"/>
    <s v="Wednesday"/>
    <s v="Morning"/>
    <x v="2"/>
    <n v="74"/>
    <n v="5.05"/>
    <x v="2"/>
    <n v="0.81"/>
    <n v="4.43"/>
    <x v="0"/>
    <n v="22.58"/>
    <s v="Low"/>
    <m/>
    <m/>
    <m/>
    <m/>
    <m/>
    <m/>
    <m/>
    <m/>
    <m/>
    <m/>
    <m/>
    <m/>
    <m/>
  </r>
  <r>
    <x v="2"/>
    <s v="Agent_8"/>
    <s v="Wednesday"/>
    <s v="Afternoon"/>
    <x v="0"/>
    <n v="41"/>
    <n v="5.19"/>
    <x v="8"/>
    <n v="0.88"/>
    <n v="4.7300000000000004"/>
    <x v="1"/>
    <n v="26.78"/>
    <s v="Low"/>
    <m/>
    <m/>
    <m/>
    <m/>
    <m/>
    <m/>
    <m/>
    <m/>
    <m/>
    <m/>
    <m/>
    <m/>
    <m/>
  </r>
  <r>
    <x v="2"/>
    <s v="Agent_8"/>
    <s v="Wednesday"/>
    <s v="Evening"/>
    <x v="0"/>
    <n v="33"/>
    <n v="6.96"/>
    <x v="13"/>
    <n v="0.82"/>
    <n v="4.21"/>
    <x v="0"/>
    <n v="25.44"/>
    <s v="Low"/>
    <m/>
    <m/>
    <m/>
    <m/>
    <m/>
    <m/>
    <m/>
    <m/>
    <m/>
    <m/>
    <m/>
    <m/>
    <m/>
  </r>
  <r>
    <x v="2"/>
    <s v="Agent_8"/>
    <s v="Thursday"/>
    <s v="Morning"/>
    <x v="1"/>
    <n v="77"/>
    <n v="6.89"/>
    <x v="0"/>
    <n v="0.76"/>
    <n v="3.59"/>
    <x v="1"/>
    <n v="29.34"/>
    <s v="High"/>
    <m/>
    <m/>
    <m/>
    <m/>
    <m/>
    <m/>
    <m/>
    <m/>
    <m/>
    <m/>
    <m/>
    <m/>
    <m/>
  </r>
  <r>
    <x v="2"/>
    <s v="Agent_8"/>
    <s v="Thursday"/>
    <s v="Afternoon"/>
    <x v="0"/>
    <n v="32"/>
    <n v="5.58"/>
    <x v="4"/>
    <n v="0.87"/>
    <n v="3.56"/>
    <x v="2"/>
    <n v="25.37"/>
    <s v="Low"/>
    <m/>
    <m/>
    <m/>
    <m/>
    <m/>
    <m/>
    <m/>
    <m/>
    <m/>
    <m/>
    <m/>
    <m/>
    <m/>
  </r>
  <r>
    <x v="2"/>
    <s v="Agent_8"/>
    <s v="Thursday"/>
    <s v="Evening"/>
    <x v="2"/>
    <n v="53"/>
    <n v="5.05"/>
    <x v="13"/>
    <n v="0.73"/>
    <n v="3.87"/>
    <x v="0"/>
    <n v="22.58"/>
    <s v="Low"/>
    <m/>
    <m/>
    <m/>
    <m/>
    <m/>
    <m/>
    <m/>
    <m/>
    <m/>
    <m/>
    <m/>
    <m/>
    <m/>
  </r>
  <r>
    <x v="2"/>
    <s v="Agent_8"/>
    <s v="Friday"/>
    <s v="Morning"/>
    <x v="1"/>
    <n v="70"/>
    <n v="6.42"/>
    <x v="2"/>
    <n v="0.81"/>
    <n v="4.18"/>
    <x v="0"/>
    <n v="24.63"/>
    <s v="Low"/>
    <m/>
    <m/>
    <m/>
    <m/>
    <m/>
    <m/>
    <m/>
    <m/>
    <m/>
    <m/>
    <m/>
    <m/>
    <m/>
  </r>
  <r>
    <x v="2"/>
    <s v="Agent_8"/>
    <s v="Friday"/>
    <s v="Afternoon"/>
    <x v="2"/>
    <n v="36"/>
    <n v="6.99"/>
    <x v="4"/>
    <n v="0.78"/>
    <n v="3.9"/>
    <x v="2"/>
    <n v="27.48"/>
    <s v="Low"/>
    <m/>
    <m/>
    <m/>
    <m/>
    <m/>
    <m/>
    <m/>
    <m/>
    <m/>
    <m/>
    <m/>
    <m/>
    <m/>
  </r>
  <r>
    <x v="2"/>
    <s v="Agent_8"/>
    <s v="Friday"/>
    <s v="Evening"/>
    <x v="0"/>
    <n v="70"/>
    <n v="5.84"/>
    <x v="13"/>
    <n v="0.71"/>
    <n v="3.89"/>
    <x v="0"/>
    <n v="23.76"/>
    <s v="Low"/>
    <m/>
    <m/>
    <m/>
    <m/>
    <m/>
    <m/>
    <m/>
    <m/>
    <m/>
    <m/>
    <m/>
    <m/>
    <m/>
  </r>
  <r>
    <x v="2"/>
    <s v="Agent_9"/>
    <s v="Monday"/>
    <s v="Morning"/>
    <x v="2"/>
    <n v="56"/>
    <n v="5.38"/>
    <x v="22"/>
    <n v="0.9"/>
    <n v="4.03"/>
    <x v="0"/>
    <n v="23.07"/>
    <s v="Low"/>
    <m/>
    <m/>
    <m/>
    <m/>
    <m/>
    <m/>
    <m/>
    <m/>
    <m/>
    <m/>
    <m/>
    <m/>
    <m/>
  </r>
  <r>
    <x v="2"/>
    <s v="Agent_9"/>
    <s v="Monday"/>
    <s v="Afternoon"/>
    <x v="2"/>
    <n v="50"/>
    <n v="5.62"/>
    <x v="5"/>
    <n v="0.81"/>
    <n v="4.04"/>
    <x v="2"/>
    <n v="25.43"/>
    <s v="Low"/>
    <m/>
    <m/>
    <m/>
    <m/>
    <m/>
    <m/>
    <m/>
    <m/>
    <m/>
    <m/>
    <m/>
    <m/>
    <m/>
  </r>
  <r>
    <x v="2"/>
    <s v="Agent_9"/>
    <s v="Monday"/>
    <s v="Evening"/>
    <x v="1"/>
    <n v="63"/>
    <n v="6.42"/>
    <x v="16"/>
    <n v="0.61"/>
    <n v="3.84"/>
    <x v="2"/>
    <n v="26.63"/>
    <s v="Low"/>
    <m/>
    <m/>
    <m/>
    <m/>
    <m/>
    <m/>
    <m/>
    <m/>
    <m/>
    <m/>
    <m/>
    <m/>
    <m/>
  </r>
  <r>
    <x v="2"/>
    <s v="Agent_9"/>
    <s v="Tuesday"/>
    <s v="Morning"/>
    <x v="1"/>
    <n v="54"/>
    <n v="7.4"/>
    <x v="3"/>
    <n v="0.83"/>
    <n v="4.51"/>
    <x v="2"/>
    <n v="28.1"/>
    <s v="High"/>
    <m/>
    <m/>
    <m/>
    <m/>
    <m/>
    <m/>
    <m/>
    <m/>
    <m/>
    <m/>
    <m/>
    <m/>
    <m/>
  </r>
  <r>
    <x v="2"/>
    <s v="Agent_9"/>
    <s v="Tuesday"/>
    <s v="Afternoon"/>
    <x v="1"/>
    <n v="46"/>
    <n v="7.08"/>
    <x v="10"/>
    <n v="0.89"/>
    <n v="4.4000000000000004"/>
    <x v="2"/>
    <n v="27.62"/>
    <s v="Low"/>
    <m/>
    <m/>
    <m/>
    <m/>
    <m/>
    <m/>
    <m/>
    <m/>
    <m/>
    <m/>
    <m/>
    <m/>
    <m/>
  </r>
  <r>
    <x v="2"/>
    <s v="Agent_9"/>
    <s v="Tuesday"/>
    <s v="Evening"/>
    <x v="2"/>
    <n v="46"/>
    <n v="7"/>
    <x v="15"/>
    <n v="0.61"/>
    <n v="3.68"/>
    <x v="0"/>
    <n v="25.5"/>
    <s v="Low"/>
    <m/>
    <m/>
    <m/>
    <m/>
    <m/>
    <m/>
    <m/>
    <m/>
    <m/>
    <m/>
    <m/>
    <m/>
    <m/>
  </r>
  <r>
    <x v="2"/>
    <s v="Agent_9"/>
    <s v="Wednesday"/>
    <s v="Morning"/>
    <x v="0"/>
    <n v="32"/>
    <n v="6.31"/>
    <x v="1"/>
    <n v="0.82"/>
    <n v="4.21"/>
    <x v="0"/>
    <n v="24.46"/>
    <s v="Low"/>
    <m/>
    <m/>
    <m/>
    <m/>
    <m/>
    <m/>
    <m/>
    <m/>
    <m/>
    <m/>
    <m/>
    <m/>
    <m/>
  </r>
  <r>
    <x v="2"/>
    <s v="Agent_9"/>
    <s v="Wednesday"/>
    <s v="Afternoon"/>
    <x v="0"/>
    <n v="65"/>
    <n v="5.55"/>
    <x v="9"/>
    <n v="0.86"/>
    <n v="4"/>
    <x v="0"/>
    <n v="23.32"/>
    <s v="Low"/>
    <m/>
    <m/>
    <m/>
    <m/>
    <m/>
    <m/>
    <m/>
    <m/>
    <m/>
    <m/>
    <m/>
    <m/>
    <m/>
  </r>
  <r>
    <x v="2"/>
    <s v="Agent_9"/>
    <s v="Wednesday"/>
    <s v="Evening"/>
    <x v="2"/>
    <n v="69"/>
    <n v="6.49"/>
    <x v="13"/>
    <n v="0.62"/>
    <n v="4.2300000000000004"/>
    <x v="0"/>
    <n v="24.74"/>
    <s v="Low"/>
    <m/>
    <m/>
    <m/>
    <m/>
    <m/>
    <m/>
    <m/>
    <m/>
    <m/>
    <m/>
    <m/>
    <m/>
    <m/>
  </r>
  <r>
    <x v="2"/>
    <s v="Agent_9"/>
    <s v="Thursday"/>
    <s v="Morning"/>
    <x v="2"/>
    <n v="62"/>
    <n v="7.25"/>
    <x v="6"/>
    <n v="0.76"/>
    <n v="4.16"/>
    <x v="2"/>
    <n v="27.88"/>
    <s v="High"/>
    <m/>
    <m/>
    <m/>
    <m/>
    <m/>
    <m/>
    <m/>
    <m/>
    <m/>
    <m/>
    <m/>
    <m/>
    <m/>
  </r>
  <r>
    <x v="2"/>
    <s v="Agent_9"/>
    <s v="Thursday"/>
    <s v="Afternoon"/>
    <x v="2"/>
    <n v="42"/>
    <n v="6.19"/>
    <x v="1"/>
    <n v="0.84"/>
    <n v="3.91"/>
    <x v="1"/>
    <n v="28.28"/>
    <s v="High"/>
    <m/>
    <m/>
    <m/>
    <m/>
    <m/>
    <m/>
    <m/>
    <m/>
    <m/>
    <m/>
    <m/>
    <m/>
    <m/>
  </r>
  <r>
    <x v="2"/>
    <s v="Agent_9"/>
    <s v="Thursday"/>
    <s v="Evening"/>
    <x v="0"/>
    <n v="37"/>
    <n v="6.23"/>
    <x v="2"/>
    <n v="0.76"/>
    <n v="4.24"/>
    <x v="1"/>
    <n v="28.34"/>
    <s v="High"/>
    <m/>
    <m/>
    <m/>
    <m/>
    <m/>
    <m/>
    <m/>
    <m/>
    <m/>
    <m/>
    <m/>
    <m/>
    <m/>
  </r>
  <r>
    <x v="2"/>
    <s v="Agent_9"/>
    <s v="Friday"/>
    <s v="Morning"/>
    <x v="2"/>
    <n v="47"/>
    <n v="5.34"/>
    <x v="5"/>
    <n v="0.75"/>
    <n v="4.01"/>
    <x v="0"/>
    <n v="23.01"/>
    <s v="Low"/>
    <m/>
    <m/>
    <m/>
    <m/>
    <m/>
    <m/>
    <m/>
    <m/>
    <m/>
    <m/>
    <m/>
    <m/>
    <m/>
  </r>
  <r>
    <x v="2"/>
    <s v="Agent_9"/>
    <s v="Friday"/>
    <s v="Afternoon"/>
    <x v="0"/>
    <n v="35"/>
    <n v="5.5"/>
    <x v="22"/>
    <n v="0.86"/>
    <n v="4.03"/>
    <x v="0"/>
    <n v="23.25"/>
    <s v="Low"/>
    <m/>
    <m/>
    <m/>
    <m/>
    <m/>
    <m/>
    <m/>
    <m/>
    <m/>
    <m/>
    <m/>
    <m/>
    <m/>
  </r>
  <r>
    <x v="2"/>
    <s v="Agent_9"/>
    <s v="Friday"/>
    <s v="Evening"/>
    <x v="2"/>
    <n v="79"/>
    <n v="7.81"/>
    <x v="22"/>
    <n v="0.61"/>
    <n v="3.99"/>
    <x v="1"/>
    <n v="30.72"/>
    <s v="High"/>
    <m/>
    <m/>
    <m/>
    <m/>
    <m/>
    <m/>
    <m/>
    <m/>
    <m/>
    <m/>
    <m/>
    <m/>
    <m/>
  </r>
  <r>
    <x v="2"/>
    <s v="Agent_10"/>
    <s v="Monday"/>
    <s v="Morning"/>
    <x v="0"/>
    <n v="36"/>
    <n v="5.34"/>
    <x v="0"/>
    <n v="0.78"/>
    <n v="4.04"/>
    <x v="2"/>
    <n v="25.01"/>
    <s v="Low"/>
    <m/>
    <m/>
    <m/>
    <m/>
    <m/>
    <m/>
    <m/>
    <m/>
    <m/>
    <m/>
    <m/>
    <m/>
    <m/>
  </r>
  <r>
    <x v="2"/>
    <s v="Agent_10"/>
    <s v="Monday"/>
    <s v="Afternoon"/>
    <x v="1"/>
    <n v="58"/>
    <n v="6.42"/>
    <x v="17"/>
    <n v="0.75"/>
    <n v="4.09"/>
    <x v="3"/>
    <n v="30.63"/>
    <s v="High"/>
    <m/>
    <m/>
    <m/>
    <m/>
    <m/>
    <m/>
    <m/>
    <m/>
    <m/>
    <m/>
    <m/>
    <m/>
    <m/>
  </r>
  <r>
    <x v="2"/>
    <s v="Agent_10"/>
    <s v="Monday"/>
    <s v="Evening"/>
    <x v="1"/>
    <n v="34"/>
    <n v="5.83"/>
    <x v="16"/>
    <n v="0.74"/>
    <n v="3.75"/>
    <x v="0"/>
    <n v="23.74"/>
    <s v="Low"/>
    <m/>
    <m/>
    <m/>
    <m/>
    <m/>
    <m/>
    <m/>
    <m/>
    <m/>
    <m/>
    <m/>
    <m/>
    <m/>
  </r>
  <r>
    <x v="2"/>
    <s v="Agent_10"/>
    <s v="Tuesday"/>
    <s v="Morning"/>
    <x v="1"/>
    <n v="78"/>
    <n v="4.5"/>
    <x v="0"/>
    <n v="0.82"/>
    <n v="3.85"/>
    <x v="0"/>
    <n v="21.75"/>
    <s v="Low"/>
    <m/>
    <m/>
    <m/>
    <m/>
    <m/>
    <m/>
    <m/>
    <m/>
    <m/>
    <m/>
    <m/>
    <m/>
    <m/>
  </r>
  <r>
    <x v="2"/>
    <s v="Agent_10"/>
    <s v="Tuesday"/>
    <s v="Afternoon"/>
    <x v="0"/>
    <n v="51"/>
    <n v="5.35"/>
    <x v="5"/>
    <n v="0.84"/>
    <n v="3.72"/>
    <x v="1"/>
    <n v="27.02"/>
    <s v="Low"/>
    <m/>
    <m/>
    <m/>
    <m/>
    <m/>
    <m/>
    <m/>
    <m/>
    <m/>
    <m/>
    <m/>
    <m/>
    <m/>
  </r>
  <r>
    <x v="2"/>
    <s v="Agent_10"/>
    <s v="Tuesday"/>
    <s v="Evening"/>
    <x v="1"/>
    <n v="70"/>
    <n v="6.2"/>
    <x v="28"/>
    <n v="0.76"/>
    <n v="3.85"/>
    <x v="0"/>
    <n v="24.3"/>
    <s v="Low"/>
    <m/>
    <m/>
    <m/>
    <m/>
    <m/>
    <m/>
    <m/>
    <m/>
    <m/>
    <m/>
    <m/>
    <m/>
    <m/>
  </r>
  <r>
    <x v="2"/>
    <s v="Agent_10"/>
    <s v="Wednesday"/>
    <s v="Morning"/>
    <x v="2"/>
    <n v="44"/>
    <n v="5.19"/>
    <x v="7"/>
    <n v="0.82"/>
    <n v="4.37"/>
    <x v="0"/>
    <n v="22.78"/>
    <s v="Low"/>
    <m/>
    <m/>
    <m/>
    <m/>
    <m/>
    <m/>
    <m/>
    <m/>
    <m/>
    <m/>
    <m/>
    <m/>
    <m/>
  </r>
  <r>
    <x v="2"/>
    <s v="Agent_10"/>
    <s v="Wednesday"/>
    <s v="Afternoon"/>
    <x v="0"/>
    <n v="31"/>
    <n v="5.79"/>
    <x v="0"/>
    <n v="0.86"/>
    <n v="4.38"/>
    <x v="0"/>
    <n v="23.68"/>
    <s v="Low"/>
    <m/>
    <m/>
    <m/>
    <m/>
    <m/>
    <m/>
    <m/>
    <m/>
    <m/>
    <m/>
    <m/>
    <m/>
    <m/>
  </r>
  <r>
    <x v="2"/>
    <s v="Agent_10"/>
    <s v="Wednesday"/>
    <s v="Evening"/>
    <x v="1"/>
    <n v="33"/>
    <n v="6.28"/>
    <x v="17"/>
    <n v="0.74"/>
    <n v="4.72"/>
    <x v="0"/>
    <n v="24.42"/>
    <s v="Low"/>
    <m/>
    <m/>
    <m/>
    <m/>
    <m/>
    <m/>
    <m/>
    <m/>
    <m/>
    <m/>
    <m/>
    <m/>
    <m/>
  </r>
  <r>
    <x v="2"/>
    <s v="Agent_10"/>
    <s v="Thursday"/>
    <s v="Morning"/>
    <x v="2"/>
    <n v="75"/>
    <n v="6.56"/>
    <x v="6"/>
    <n v="0.77"/>
    <n v="3.51"/>
    <x v="0"/>
    <n v="24.84"/>
    <s v="Low"/>
    <m/>
    <m/>
    <m/>
    <m/>
    <m/>
    <m/>
    <m/>
    <m/>
    <m/>
    <m/>
    <m/>
    <m/>
    <m/>
  </r>
  <r>
    <x v="2"/>
    <s v="Agent_10"/>
    <s v="Thursday"/>
    <s v="Afternoon"/>
    <x v="1"/>
    <n v="50"/>
    <n v="4.9800000000000004"/>
    <x v="17"/>
    <n v="0.82"/>
    <n v="3.84"/>
    <x v="0"/>
    <n v="22.47"/>
    <s v="Low"/>
    <m/>
    <m/>
    <m/>
    <m/>
    <m/>
    <m/>
    <m/>
    <m/>
    <m/>
    <m/>
    <m/>
    <m/>
    <m/>
  </r>
  <r>
    <x v="2"/>
    <s v="Agent_10"/>
    <s v="Thursday"/>
    <s v="Evening"/>
    <x v="2"/>
    <n v="55"/>
    <n v="7.97"/>
    <x v="1"/>
    <n v="0.65"/>
    <n v="4.3499999999999996"/>
    <x v="1"/>
    <n v="30.96"/>
    <s v="High"/>
    <m/>
    <m/>
    <m/>
    <m/>
    <m/>
    <m/>
    <m/>
    <m/>
    <m/>
    <m/>
    <m/>
    <m/>
    <m/>
  </r>
  <r>
    <x v="2"/>
    <s v="Agent_10"/>
    <s v="Friday"/>
    <s v="Morning"/>
    <x v="1"/>
    <n v="76"/>
    <n v="6.54"/>
    <x v="22"/>
    <n v="0.8"/>
    <n v="3.52"/>
    <x v="0"/>
    <n v="24.81"/>
    <s v="Low"/>
    <m/>
    <m/>
    <m/>
    <m/>
    <m/>
    <m/>
    <m/>
    <m/>
    <m/>
    <m/>
    <m/>
    <m/>
    <m/>
  </r>
  <r>
    <x v="2"/>
    <s v="Agent_10"/>
    <s v="Friday"/>
    <s v="Afternoon"/>
    <x v="2"/>
    <n v="40"/>
    <n v="7.71"/>
    <x v="0"/>
    <n v="0.85"/>
    <n v="3.61"/>
    <x v="3"/>
    <n v="32.56"/>
    <s v="High"/>
    <m/>
    <m/>
    <m/>
    <m/>
    <m/>
    <m/>
    <m/>
    <m/>
    <m/>
    <m/>
    <m/>
    <m/>
    <m/>
  </r>
  <r>
    <x v="2"/>
    <s v="Agent_10"/>
    <s v="Friday"/>
    <s v="Evening"/>
    <x v="2"/>
    <n v="67"/>
    <n v="5.7"/>
    <x v="8"/>
    <n v="0.72"/>
    <n v="3.87"/>
    <x v="2"/>
    <n v="25.55"/>
    <s v="Low"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  <r>
    <x v="3"/>
    <m/>
    <m/>
    <m/>
    <x v="3"/>
    <m/>
    <m/>
    <x v="29"/>
    <m/>
    <m/>
    <x v="4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 Table 1 2" cacheId="21" applyNumberFormats="0" applyBorderFormats="0" applyFontFormats="0" applyPatternFormats="0" applyAlignmentFormats="0" applyWidthHeightFormats="0" dataCaption="" updatedVersion="8" compact="0" compactData="0">
  <location ref="D1:E8" firstHeaderRow="1" firstDataRow="1" firstDataCol="1"/>
  <pivotFields count="13">
    <pivotField name="Team" compact="0" outline="0" multipleItemSelectionAllowed="1" showAll="0"/>
    <pivotField name="AgentID" compact="0" outline="0" multipleItemSelectionAllowed="1" showAll="0"/>
    <pivotField name="Day" compact="0" outline="0" multipleItemSelectionAllowed="1" showAll="0"/>
    <pivotField name="Shift" compact="0" outline="0" multipleItemSelectionAllowed="1" showAll="0"/>
    <pivotField name="Experience" compact="0" outline="0" multipleItemSelectionAllowed="1" showAll="0"/>
    <pivotField name="CallsHandled" compact="0" outline="0" multipleItemSelectionAllowed="1" showAll="0"/>
    <pivotField name="AvgCallDuration" axis="axisRow" compact="0" outline="0" multipleItemSelectionAllowed="1" showAll="0" sortType="ascending">
      <items count="9">
        <item x="0"/>
        <item x="7"/>
        <item x="2"/>
        <item x="1"/>
        <item x="4"/>
        <item x="3"/>
        <item x="6"/>
        <item x="5"/>
        <item t="default"/>
      </items>
    </pivotField>
    <pivotField name="EscalationRate" compact="0" outline="0" multipleItemSelectionAllowed="1" showAll="0"/>
    <pivotField name="FCRRate" compact="0" outline="0" multipleItemSelectionAllowed="1" showAll="0"/>
    <pivotField name="CSATScore" compact="0" outline="0" multipleItemSelectionAllowed="1" showAll="0"/>
    <pivotField name="OvertimeHours" compact="0" outline="0" multipleItemSelectionAllowed="1" showAll="0"/>
    <pivotField name="CostPerCall" dataField="1" compact="0" outline="0" multipleItemSelectionAllowed="1" showAll="0"/>
    <pivotField name="CostPerCall(High/Low)" compact="0" outline="0" multipleItemSelectionAllowed="1" showAll="0"/>
  </pivotFields>
  <rowFields count="1">
    <field x="6"/>
  </rowFields>
  <rowItems count="7">
    <i>
      <x v="1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CostPerCall" fld="11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 Table 1 7" cacheId="8" applyNumberFormats="0" applyBorderFormats="0" applyFontFormats="0" applyPatternFormats="0" applyAlignmentFormats="0" applyWidthHeightFormats="0" dataCaption="" updatedVersion="8" compact="0" compactData="0">
  <location ref="D17:E21" firstHeaderRow="1" firstDataRow="1" firstDataCol="1"/>
  <pivotFields count="13">
    <pivotField name="Team" compact="0" outline="0" multipleItemSelectionAllowed="1" showAll="0"/>
    <pivotField name="AgentID" compact="0" outline="0" multipleItemSelectionAllowed="1" showAll="0"/>
    <pivotField name="Day" compact="0" outline="0" multipleItemSelectionAllowed="1" showAll="0"/>
    <pivotField name="Shift" axis="axisRow" compact="0" outline="0" multipleItemSelectionAllowed="1" showAll="0" sortType="ascending">
      <items count="4">
        <item x="1"/>
        <item x="2"/>
        <item x="0"/>
        <item t="default"/>
      </items>
    </pivotField>
    <pivotField name="Experience" compact="0" outline="0" multipleItemSelectionAllowed="1" showAll="0"/>
    <pivotField name="CallsHandled" compact="0" outline="0" multipleItemSelectionAllowed="1" showAll="0"/>
    <pivotField name="AvgCallDuration" compact="0" outline="0" multipleItemSelectionAllowed="1" showAll="0"/>
    <pivotField name="EscalationRate" compact="0" outline="0" multipleItemSelectionAllowed="1" showAll="0"/>
    <pivotField name="FCRRate" compact="0" outline="0" multipleItemSelectionAllowed="1" showAll="0"/>
    <pivotField name="CSATScore" compact="0" outline="0" multipleItemSelectionAllowed="1" showAll="0"/>
    <pivotField name="OvertimeHours" compact="0" outline="0" multipleItemSelectionAllowed="1" showAll="0"/>
    <pivotField name="CostPerCall" dataField="1" compact="0" outline="0" multipleItemSelectionAllowed="1" showAll="0"/>
    <pivotField name="CostPerCall(High/Low)" compact="0" outline="0" multipleItemSelectionAllowe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ostPerCall" fld="11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 Table 1 3" cacheId="17" applyNumberFormats="0" applyBorderFormats="0" applyFontFormats="0" applyPatternFormats="0" applyAlignmentFormats="0" applyWidthHeightFormats="0" dataCaption="" updatedVersion="8" compact="0" compactData="0">
  <location ref="G1:I22" firstHeaderRow="1" firstDataRow="1" firstDataCol="2"/>
  <pivotFields count="26">
    <pivotField name="Team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AgentID" compact="0" outline="0" multipleItemSelectionAllowed="1" showAll="0"/>
    <pivotField name="Day" compact="0" outline="0" multipleItemSelectionAllowed="1" showAll="0"/>
    <pivotField name="Shift" compact="0" outline="0" multipleItemSelectionAllowed="1" showAll="0"/>
    <pivotField name="Experience" compact="0" outline="0" multipleItemSelectionAllowed="1" showAll="0"/>
    <pivotField name="CallsHandled" axis="axisRow" compact="0" outline="0" multipleItemSelectionAllowed="1" showAll="0" sortType="ascending">
      <items count="8">
        <item x="0"/>
        <item x="6"/>
        <item x="1"/>
        <item x="2"/>
        <item x="3"/>
        <item x="4"/>
        <item x="5"/>
        <item t="default"/>
      </items>
    </pivotField>
    <pivotField name="AvgCallDuration" compact="0" outline="0" multipleItemSelectionAllowed="1" showAll="0"/>
    <pivotField name="EscalationRate" compact="0" outline="0" multipleItemSelectionAllowed="1" showAll="0"/>
    <pivotField name="FCRRate" compact="0" outline="0" multipleItemSelectionAllowed="1" showAll="0"/>
    <pivotField name="CSATScore" compact="0" outline="0" multipleItemSelectionAllowed="1" showAll="0"/>
    <pivotField name="OvertimeHours" compact="0" outline="0" multipleItemSelectionAllowed="1" showAll="0"/>
    <pivotField name="CostPerCall" dataField="1" compact="0" outline="0" multipleItemSelectionAllowed="1" showAll="0"/>
    <pivotField name="CostPerCall(High/Low)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</pivotFields>
  <rowFields count="2">
    <field x="0"/>
    <field x="5"/>
  </rowFields>
  <rowItems count="21">
    <i>
      <x/>
      <x v="2"/>
    </i>
    <i r="1">
      <x v="3"/>
    </i>
    <i r="1">
      <x v="4"/>
    </i>
    <i r="1">
      <x v="5"/>
    </i>
    <i r="1">
      <x v="6"/>
    </i>
    <i t="default">
      <x/>
    </i>
    <i>
      <x v="1"/>
      <x v="2"/>
    </i>
    <i r="1">
      <x v="3"/>
    </i>
    <i r="1">
      <x v="4"/>
    </i>
    <i r="1">
      <x v="5"/>
    </i>
    <i r="1">
      <x v="6"/>
    </i>
    <i t="default">
      <x v="1"/>
    </i>
    <i>
      <x v="2"/>
      <x v="2"/>
    </i>
    <i r="1">
      <x v="3"/>
    </i>
    <i r="1">
      <x v="4"/>
    </i>
    <i r="1">
      <x v="5"/>
    </i>
    <i r="1">
      <x v="6"/>
    </i>
    <i t="default">
      <x v="2"/>
    </i>
    <i>
      <x v="3"/>
      <x/>
    </i>
    <i t="default">
      <x v="3"/>
    </i>
    <i t="grand">
      <x/>
    </i>
  </rowItems>
  <colItems count="1">
    <i/>
  </colItems>
  <dataFields count="1">
    <dataField name="AVERAGE of CostPerCall" fld="11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 Table 1 4" cacheId="28" applyNumberFormats="0" applyBorderFormats="0" applyFontFormats="0" applyPatternFormats="0" applyAlignmentFormats="0" applyWidthHeightFormats="0" dataCaption="" updatedVersion="8" compact="0" compactData="0">
  <location ref="M1:O85" firstHeaderRow="1" firstDataRow="1" firstDataCol="2"/>
  <pivotFields count="26">
    <pivotField name="Team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AgentID" compact="0" outline="0" multipleItemSelectionAllowed="1" showAll="0"/>
    <pivotField name="Day" compact="0" outline="0" multipleItemSelectionAllowed="1" showAll="0"/>
    <pivotField name="Shift" compact="0" outline="0" multipleItemSelectionAllowed="1" showAll="0"/>
    <pivotField name="Experience" compact="0" outline="0" multipleItemSelectionAllowed="1" showAll="0"/>
    <pivotField name="CallsHandled" compact="0" outline="0" multipleItemSelectionAllowed="1" showAll="0"/>
    <pivotField name="AvgCallDuration" compact="0" outline="0" multipleItemSelectionAllowed="1" showAll="0"/>
    <pivotField name="EscalationRate" axis="axisRow" compact="0" outline="0" multipleItemSelectionAllowed="1" showAll="0" sortType="ascending">
      <items count="31">
        <item x="15"/>
        <item x="4"/>
        <item x="5"/>
        <item x="2"/>
        <item x="22"/>
        <item x="8"/>
        <item x="3"/>
        <item x="7"/>
        <item x="0"/>
        <item x="1"/>
        <item x="9"/>
        <item x="13"/>
        <item x="12"/>
        <item x="6"/>
        <item x="19"/>
        <item x="10"/>
        <item x="11"/>
        <item x="14"/>
        <item x="25"/>
        <item x="28"/>
        <item x="20"/>
        <item x="27"/>
        <item x="23"/>
        <item x="26"/>
        <item x="18"/>
        <item x="21"/>
        <item x="17"/>
        <item x="16"/>
        <item x="24"/>
        <item x="29"/>
        <item t="default"/>
      </items>
    </pivotField>
    <pivotField name="FCRRate" compact="0" outline="0" multipleItemSelectionAllowed="1" showAll="0"/>
    <pivotField name="CSATScore" compact="0" outline="0" multipleItemSelectionAllowed="1" showAll="0"/>
    <pivotField name="OvertimeHours" compact="0" outline="0" multipleItemSelectionAllowed="1" showAll="0"/>
    <pivotField name="CostPerCall" dataField="1" compact="0" outline="0" multipleItemSelectionAllowed="1" showAll="0"/>
    <pivotField name="CostPerCall(High/Low)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</pivotFields>
  <rowFields count="2">
    <field x="0"/>
    <field x="7"/>
  </rowFields>
  <rowItems count="8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t="default">
      <x v="2"/>
    </i>
    <i>
      <x v="3"/>
      <x v="29"/>
    </i>
    <i t="default">
      <x v="3"/>
    </i>
    <i t="grand">
      <x/>
    </i>
  </rowItems>
  <colItems count="1">
    <i/>
  </colItems>
  <dataFields count="1">
    <dataField name="AVERAGE of CostPerCall" fld="11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 Table 1 5" cacheId="12" applyNumberFormats="0" applyBorderFormats="0" applyFontFormats="0" applyPatternFormats="0" applyAlignmentFormats="0" applyWidthHeightFormats="0" dataCaption="" updatedVersion="8" compact="0" compactData="0">
  <location ref="A9:B17" firstHeaderRow="1" firstDataRow="1" firstDataCol="1"/>
  <pivotFields count="13">
    <pivotField name="Team" compact="0" outline="0" multipleItemSelectionAllowed="1" showAll="0"/>
    <pivotField name="AgentID" compact="0" outline="0" multipleItemSelectionAllowed="1" showAll="0"/>
    <pivotField name="Day" compact="0" outline="0" multipleItemSelectionAllowed="1" showAll="0"/>
    <pivotField name="Shift" compact="0" outline="0" multipleItemSelectionAllowed="1" showAll="0"/>
    <pivotField name="Experience" compact="0" outline="0" multipleItemSelectionAllowed="1" showAll="0"/>
    <pivotField name="CallsHandled" compact="0" outline="0" multipleItemSelectionAllowed="1" showAll="0"/>
    <pivotField name="AvgCallDuration" compact="0" outline="0" multipleItemSelectionAllowed="1" showAll="0"/>
    <pivotField name="EscalationRate" compact="0" outline="0" multipleItemSelectionAllowed="1" showAll="0"/>
    <pivotField name="FCRRate" compact="0" outline="0" multipleItemSelectionAllowed="1" showAll="0"/>
    <pivotField name="CSATScore" axis="axisRow" compact="0" outline="0" multipleItemSelectionAllowed="1" showAll="0" sortType="ascending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name="OvertimeHours" compact="0" outline="0" multipleItemSelectionAllowed="1" showAll="0"/>
    <pivotField name="CostPerCall" dataField="1" compact="0" outline="0" multipleItemSelectionAllowed="1" showAll="0"/>
    <pivotField name="CostPerCall(High/Low)" compact="0" outline="0" multipleItemSelectionAllowed="1" showAll="0"/>
  </pivotFields>
  <rowFields count="1">
    <field x="9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CostPerCall" fld="11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 Table 1 6" cacheId="28" applyNumberFormats="0" applyBorderFormats="0" applyFontFormats="0" applyPatternFormats="0" applyAlignmentFormats="0" applyWidthHeightFormats="0" dataCaption="" updatedVersion="8" compact="0" compactData="0">
  <location ref="D10:E15" firstHeaderRow="1" firstDataRow="1" firstDataCol="1"/>
  <pivotFields count="26">
    <pivotField name="Team" compact="0" outline="0" multipleItemSelectionAllowed="1" showAll="0"/>
    <pivotField name="AgentID" compact="0" outline="0" multipleItemSelectionAllowed="1" showAll="0"/>
    <pivotField name="Day" compact="0" outline="0" multipleItemSelectionAllowed="1" showAll="0"/>
    <pivotField name="Shift" compact="0" outline="0" multipleItemSelectionAllowed="1" showAll="0"/>
    <pivotField name="Experience" axis="axisRow" compact="0" outline="0" multipleItemSelectionAllowed="1" showAll="0" sortType="ascending">
      <items count="5">
        <item x="1"/>
        <item x="0"/>
        <item x="2"/>
        <item x="3"/>
        <item t="default"/>
      </items>
    </pivotField>
    <pivotField name="CallsHandled" compact="0" outline="0" multipleItemSelectionAllowed="1" showAll="0"/>
    <pivotField name="AvgCallDuration" compact="0" outline="0" multipleItemSelectionAllowed="1" showAll="0"/>
    <pivotField name="EscalationRate" compact="0" outline="0" multipleItemSelectionAllowed="1" showAll="0"/>
    <pivotField name="FCRRate" compact="0" outline="0" multipleItemSelectionAllowed="1" showAll="0"/>
    <pivotField name="CSATScore" compact="0" outline="0" multipleItemSelectionAllowed="1" showAll="0"/>
    <pivotField name="OvertimeHours" compact="0" outline="0" multipleItemSelectionAllowed="1" showAll="0"/>
    <pivotField name="CostPerCall" dataField="1" compact="0" outline="0" multipleItemSelectionAllowed="1" showAll="0"/>
    <pivotField name="CostPerCall(High/Low)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ostPerCall" fld="11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28" applyNumberFormats="0" applyBorderFormats="0" applyFontFormats="0" applyPatternFormats="0" applyAlignmentFormats="0" applyWidthHeightFormats="0" dataCaption="" updatedVersion="8" compact="0" compactData="0">
  <location ref="A1:B7" firstHeaderRow="1" firstDataRow="1" firstDataCol="1"/>
  <pivotFields count="26">
    <pivotField name="Team" compact="0" outline="0" multipleItemSelectionAllowed="1" showAll="0"/>
    <pivotField name="AgentID" compact="0" outline="0" multipleItemSelectionAllowed="1" showAll="0"/>
    <pivotField name="Day" compact="0" outline="0" multipleItemSelectionAllowed="1" showAll="0"/>
    <pivotField name="Shift" compact="0" outline="0" multipleItemSelectionAllowed="1" showAll="0"/>
    <pivotField name="Experience" compact="0" outline="0" multipleItemSelectionAllowed="1" showAll="0"/>
    <pivotField name="CallsHandled" compact="0" outline="0" multipleItemSelectionAllowed="1" showAll="0"/>
    <pivotField name="AvgCallDuration" compact="0" outline="0" multipleItemSelectionAllowed="1" showAll="0"/>
    <pivotField name="EscalationRate" compact="0" outline="0" multipleItemSelectionAllowed="1" showAll="0"/>
    <pivotField name="FCRRate" compact="0" outline="0" multipleItemSelectionAllowed="1" showAll="0"/>
    <pivotField name="CSATScore" compact="0" outline="0" multipleItemSelectionAllowed="1" showAll="0"/>
    <pivotField name="OvertimeHours" axis="axisRow" compact="0" outline="0" multipleItemSelectionAllowed="1" showAll="0" sortType="ascending">
      <items count="6">
        <item x="0"/>
        <item x="2"/>
        <item x="1"/>
        <item x="3"/>
        <item x="4"/>
        <item t="default"/>
      </items>
    </pivotField>
    <pivotField name="CostPerCall" dataField="1" compact="0" outline="0" multipleItemSelectionAllowed="1" showAll="0"/>
    <pivotField name="CostPerCall(High/Low)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ostPerCall" fld="11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2" activePane="bottomLeft" state="frozen"/>
      <selection pane="bottomLeft" activeCell="H4" sqref="H4"/>
    </sheetView>
  </sheetViews>
  <sheetFormatPr defaultColWidth="14.44140625" defaultRowHeight="15" customHeight="1" x14ac:dyDescent="0.3"/>
  <cols>
    <col min="1" max="1" width="9.109375" customWidth="1"/>
    <col min="2" max="2" width="10.88671875" customWidth="1"/>
    <col min="3" max="3" width="11.109375" customWidth="1"/>
    <col min="4" max="4" width="9.88671875" customWidth="1"/>
    <col min="5" max="5" width="14.44140625" customWidth="1"/>
    <col min="6" max="6" width="14.5546875" customWidth="1"/>
    <col min="7" max="7" width="16.109375" customWidth="1"/>
    <col min="8" max="8" width="15.6640625" customWidth="1"/>
    <col min="9" max="9" width="12" customWidth="1"/>
    <col min="10" max="10" width="13.6640625" customWidth="1"/>
    <col min="11" max="11" width="15.88671875" customWidth="1"/>
    <col min="12" max="12" width="13.88671875" customWidth="1"/>
    <col min="13" max="13" width="20.5546875" customWidth="1"/>
    <col min="14" max="14" width="8.6640625" customWidth="1"/>
    <col min="15" max="15" width="22.33203125" customWidth="1"/>
    <col min="16" max="16" width="8.6640625" customWidth="1"/>
    <col min="17" max="17" width="35.88671875" customWidth="1"/>
    <col min="18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13</v>
      </c>
      <c r="P1" s="3" t="s">
        <v>13</v>
      </c>
      <c r="Q1" s="3" t="s">
        <v>13</v>
      </c>
      <c r="R1" s="3" t="s">
        <v>13</v>
      </c>
      <c r="S1" s="3" t="s">
        <v>13</v>
      </c>
      <c r="T1" s="3" t="s">
        <v>13</v>
      </c>
      <c r="U1" s="3" t="s">
        <v>13</v>
      </c>
      <c r="V1" s="3" t="s">
        <v>13</v>
      </c>
      <c r="W1" s="3" t="s">
        <v>13</v>
      </c>
      <c r="X1" s="3" t="s">
        <v>13</v>
      </c>
      <c r="Y1" s="3" t="s">
        <v>13</v>
      </c>
      <c r="Z1" s="3" t="s">
        <v>13</v>
      </c>
    </row>
    <row r="2" spans="1:26" ht="14.25" customHeight="1" x14ac:dyDescent="0.3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>
        <v>58</v>
      </c>
      <c r="G2" s="3">
        <v>6.54</v>
      </c>
      <c r="H2" s="3">
        <v>0.1</v>
      </c>
      <c r="I2" s="3">
        <v>0.82</v>
      </c>
      <c r="J2" s="3">
        <v>3.63</v>
      </c>
      <c r="K2" s="3">
        <v>0</v>
      </c>
      <c r="L2" s="3">
        <v>24.81</v>
      </c>
      <c r="M2" s="4" t="str">
        <f t="shared" ref="M2:M256" si="0">IF(L2&gt;=P$5,"High","Low")</f>
        <v>Low</v>
      </c>
    </row>
    <row r="3" spans="1:26" ht="14.25" customHeight="1" x14ac:dyDescent="0.3">
      <c r="A3" s="3" t="s">
        <v>14</v>
      </c>
      <c r="B3" s="3" t="s">
        <v>15</v>
      </c>
      <c r="C3" s="3" t="s">
        <v>16</v>
      </c>
      <c r="D3" s="3" t="s">
        <v>19</v>
      </c>
      <c r="E3" s="3" t="s">
        <v>18</v>
      </c>
      <c r="F3" s="3">
        <v>69</v>
      </c>
      <c r="G3" s="3">
        <v>5.38</v>
      </c>
      <c r="H3" s="3">
        <v>0.11</v>
      </c>
      <c r="I3" s="3">
        <v>0.75</v>
      </c>
      <c r="J3" s="3">
        <v>4.76</v>
      </c>
      <c r="K3" s="3">
        <v>2</v>
      </c>
      <c r="L3" s="3">
        <v>27.07</v>
      </c>
      <c r="M3" s="4" t="str">
        <f t="shared" si="0"/>
        <v>Low</v>
      </c>
      <c r="O3" s="3" t="s">
        <v>20</v>
      </c>
      <c r="P3" s="5">
        <f>QUARTILE(L2:L451,1)</f>
        <v>24.262500000000003</v>
      </c>
    </row>
    <row r="4" spans="1:26" ht="14.25" customHeight="1" x14ac:dyDescent="0.3">
      <c r="A4" s="3" t="s">
        <v>14</v>
      </c>
      <c r="B4" s="3" t="s">
        <v>15</v>
      </c>
      <c r="C4" s="3" t="s">
        <v>16</v>
      </c>
      <c r="D4" s="3" t="s">
        <v>21</v>
      </c>
      <c r="E4" s="3" t="s">
        <v>22</v>
      </c>
      <c r="F4" s="3">
        <v>50</v>
      </c>
      <c r="G4" s="3">
        <v>7.46</v>
      </c>
      <c r="H4" s="3">
        <v>0.05</v>
      </c>
      <c r="I4" s="3">
        <v>0.61</v>
      </c>
      <c r="J4" s="3">
        <v>4.18</v>
      </c>
      <c r="K4" s="3">
        <v>0</v>
      </c>
      <c r="L4" s="3">
        <v>26.19</v>
      </c>
      <c r="M4" s="4" t="str">
        <f t="shared" si="0"/>
        <v>Low</v>
      </c>
      <c r="O4" s="3" t="s">
        <v>23</v>
      </c>
      <c r="P4" s="3">
        <f>QUARTILE(L2:L451,2)</f>
        <v>25.8</v>
      </c>
    </row>
    <row r="5" spans="1:26" ht="14.25" customHeight="1" x14ac:dyDescent="0.3">
      <c r="A5" s="3" t="s">
        <v>14</v>
      </c>
      <c r="B5" s="3" t="s">
        <v>15</v>
      </c>
      <c r="C5" s="3" t="s">
        <v>24</v>
      </c>
      <c r="D5" s="3" t="s">
        <v>17</v>
      </c>
      <c r="E5" s="3" t="s">
        <v>22</v>
      </c>
      <c r="F5" s="3">
        <v>45</v>
      </c>
      <c r="G5" s="3">
        <v>7.54</v>
      </c>
      <c r="H5" s="3">
        <v>0.11</v>
      </c>
      <c r="I5" s="3">
        <v>0.76</v>
      </c>
      <c r="J5" s="3">
        <v>4.3</v>
      </c>
      <c r="K5" s="3">
        <v>0</v>
      </c>
      <c r="L5" s="3">
        <v>26.31</v>
      </c>
      <c r="M5" s="4" t="str">
        <f t="shared" si="0"/>
        <v>Low</v>
      </c>
      <c r="O5" s="3" t="s">
        <v>25</v>
      </c>
      <c r="P5" s="5">
        <f>QUARTILE(L2:L451,3)</f>
        <v>27.695</v>
      </c>
    </row>
    <row r="6" spans="1:26" ht="14.25" customHeight="1" x14ac:dyDescent="0.3">
      <c r="A6" s="3" t="s">
        <v>14</v>
      </c>
      <c r="B6" s="3" t="s">
        <v>15</v>
      </c>
      <c r="C6" s="3" t="s">
        <v>24</v>
      </c>
      <c r="D6" s="3" t="s">
        <v>19</v>
      </c>
      <c r="E6" s="3" t="s">
        <v>26</v>
      </c>
      <c r="F6" s="3">
        <v>32</v>
      </c>
      <c r="G6" s="3">
        <v>6.42</v>
      </c>
      <c r="H6" s="3">
        <v>0.08</v>
      </c>
      <c r="I6" s="3">
        <v>0.75</v>
      </c>
      <c r="J6" s="3">
        <v>4.72</v>
      </c>
      <c r="K6" s="3">
        <v>0</v>
      </c>
      <c r="L6" s="3">
        <v>24.63</v>
      </c>
      <c r="M6" s="4" t="str">
        <f t="shared" si="0"/>
        <v>Low</v>
      </c>
    </row>
    <row r="7" spans="1:26" ht="14.25" customHeight="1" x14ac:dyDescent="0.3">
      <c r="A7" s="3" t="s">
        <v>14</v>
      </c>
      <c r="B7" s="3" t="s">
        <v>15</v>
      </c>
      <c r="C7" s="3" t="s">
        <v>24</v>
      </c>
      <c r="D7" s="3" t="s">
        <v>21</v>
      </c>
      <c r="E7" s="3" t="s">
        <v>18</v>
      </c>
      <c r="F7" s="3">
        <v>55</v>
      </c>
      <c r="G7" s="3">
        <v>6.83</v>
      </c>
      <c r="H7" s="3">
        <v>0.03</v>
      </c>
      <c r="I7" s="3">
        <v>0.77</v>
      </c>
      <c r="J7" s="3">
        <v>4.07</v>
      </c>
      <c r="K7" s="3">
        <v>0</v>
      </c>
      <c r="L7" s="3">
        <v>25.24</v>
      </c>
      <c r="M7" s="4" t="str">
        <f t="shared" si="0"/>
        <v>Low</v>
      </c>
      <c r="O7" s="3" t="s">
        <v>27</v>
      </c>
      <c r="P7" s="3">
        <f>COUNTIF(M4:M449,"High")</f>
        <v>112</v>
      </c>
      <c r="Q7" s="3" t="s">
        <v>28</v>
      </c>
    </row>
    <row r="8" spans="1:26" ht="14.25" customHeight="1" x14ac:dyDescent="0.3">
      <c r="A8" s="3" t="s">
        <v>14</v>
      </c>
      <c r="B8" s="3" t="s">
        <v>15</v>
      </c>
      <c r="C8" s="3" t="s">
        <v>29</v>
      </c>
      <c r="D8" s="3" t="s">
        <v>17</v>
      </c>
      <c r="E8" s="3" t="s">
        <v>18</v>
      </c>
      <c r="F8" s="3">
        <v>76</v>
      </c>
      <c r="G8" s="3">
        <v>5.61</v>
      </c>
      <c r="H8" s="3">
        <v>0.04</v>
      </c>
      <c r="I8" s="3">
        <v>0.86</v>
      </c>
      <c r="J8" s="3">
        <v>4.05</v>
      </c>
      <c r="K8" s="3">
        <v>0</v>
      </c>
      <c r="L8" s="3">
        <v>23.42</v>
      </c>
      <c r="M8" s="4" t="str">
        <f t="shared" si="0"/>
        <v>Low</v>
      </c>
      <c r="O8" s="3" t="s">
        <v>30</v>
      </c>
      <c r="P8" s="3">
        <f>COUNTIF(M3:M445,"High")</f>
        <v>111</v>
      </c>
    </row>
    <row r="9" spans="1:26" ht="14.25" customHeight="1" x14ac:dyDescent="0.3">
      <c r="A9" s="3" t="s">
        <v>14</v>
      </c>
      <c r="B9" s="3" t="s">
        <v>15</v>
      </c>
      <c r="C9" s="3" t="s">
        <v>29</v>
      </c>
      <c r="D9" s="3" t="s">
        <v>19</v>
      </c>
      <c r="E9" s="3" t="s">
        <v>18</v>
      </c>
      <c r="F9" s="3">
        <v>58</v>
      </c>
      <c r="G9" s="3">
        <v>4.84</v>
      </c>
      <c r="H9" s="3">
        <v>0.15</v>
      </c>
      <c r="I9" s="3">
        <v>0.87</v>
      </c>
      <c r="J9" s="3">
        <v>4.72</v>
      </c>
      <c r="K9" s="3">
        <v>2</v>
      </c>
      <c r="L9" s="3">
        <v>26.26</v>
      </c>
      <c r="M9" s="4" t="str">
        <f t="shared" si="0"/>
        <v>Low</v>
      </c>
      <c r="O9" s="3" t="s">
        <v>31</v>
      </c>
      <c r="P9" s="3">
        <f>COUNTIF(M6:M451,"High")</f>
        <v>113</v>
      </c>
    </row>
    <row r="10" spans="1:26" ht="14.25" customHeight="1" x14ac:dyDescent="0.3">
      <c r="A10" s="3" t="s">
        <v>14</v>
      </c>
      <c r="B10" s="3" t="s">
        <v>15</v>
      </c>
      <c r="C10" s="3" t="s">
        <v>29</v>
      </c>
      <c r="D10" s="3" t="s">
        <v>21</v>
      </c>
      <c r="E10" s="3" t="s">
        <v>18</v>
      </c>
      <c r="F10" s="3">
        <v>77</v>
      </c>
      <c r="G10" s="3">
        <v>6.75</v>
      </c>
      <c r="H10" s="3">
        <v>0.09</v>
      </c>
      <c r="I10" s="3">
        <v>0.84</v>
      </c>
      <c r="J10" s="3">
        <v>4.5999999999999996</v>
      </c>
      <c r="K10" s="3">
        <v>1</v>
      </c>
      <c r="L10" s="3">
        <v>27.12</v>
      </c>
      <c r="M10" s="4" t="str">
        <f t="shared" si="0"/>
        <v>Low</v>
      </c>
    </row>
    <row r="11" spans="1:26" ht="14.25" customHeight="1" x14ac:dyDescent="0.3">
      <c r="A11" s="3" t="s">
        <v>14</v>
      </c>
      <c r="B11" s="3" t="s">
        <v>15</v>
      </c>
      <c r="C11" s="3" t="s">
        <v>32</v>
      </c>
      <c r="D11" s="3" t="s">
        <v>17</v>
      </c>
      <c r="E11" s="3" t="s">
        <v>18</v>
      </c>
      <c r="F11" s="3">
        <v>53</v>
      </c>
      <c r="G11" s="3">
        <v>4.16</v>
      </c>
      <c r="H11" s="3">
        <v>7.0000000000000007E-2</v>
      </c>
      <c r="I11" s="3">
        <v>0.79</v>
      </c>
      <c r="J11" s="3">
        <v>4.21</v>
      </c>
      <c r="K11" s="3">
        <v>0</v>
      </c>
      <c r="L11" s="3">
        <v>21.24</v>
      </c>
      <c r="M11" s="4" t="str">
        <f t="shared" si="0"/>
        <v>Low</v>
      </c>
    </row>
    <row r="12" spans="1:26" ht="14.25" customHeight="1" x14ac:dyDescent="0.3">
      <c r="A12" s="3" t="s">
        <v>14</v>
      </c>
      <c r="B12" s="3" t="s">
        <v>15</v>
      </c>
      <c r="C12" s="3" t="s">
        <v>32</v>
      </c>
      <c r="D12" s="3" t="s">
        <v>19</v>
      </c>
      <c r="E12" s="3" t="s">
        <v>26</v>
      </c>
      <c r="F12" s="3">
        <v>30</v>
      </c>
      <c r="G12" s="3">
        <v>5.96</v>
      </c>
      <c r="H12" s="3">
        <v>7.0000000000000007E-2</v>
      </c>
      <c r="I12" s="3">
        <v>0.79</v>
      </c>
      <c r="J12" s="3">
        <v>3.52</v>
      </c>
      <c r="K12" s="3">
        <v>0</v>
      </c>
      <c r="L12" s="3">
        <v>23.94</v>
      </c>
      <c r="M12" s="4" t="str">
        <f t="shared" si="0"/>
        <v>Low</v>
      </c>
    </row>
    <row r="13" spans="1:26" ht="14.25" customHeight="1" x14ac:dyDescent="0.3">
      <c r="A13" s="3" t="s">
        <v>14</v>
      </c>
      <c r="B13" s="3" t="s">
        <v>15</v>
      </c>
      <c r="C13" s="3" t="s">
        <v>32</v>
      </c>
      <c r="D13" s="3" t="s">
        <v>21</v>
      </c>
      <c r="E13" s="3" t="s">
        <v>26</v>
      </c>
      <c r="F13" s="3">
        <v>64</v>
      </c>
      <c r="G13" s="3">
        <v>5.72</v>
      </c>
      <c r="H13" s="3">
        <v>0.12</v>
      </c>
      <c r="I13" s="3">
        <v>0.62</v>
      </c>
      <c r="J13" s="3">
        <v>3.97</v>
      </c>
      <c r="K13" s="3">
        <v>0</v>
      </c>
      <c r="L13" s="3">
        <v>23.58</v>
      </c>
      <c r="M13" s="4" t="str">
        <f t="shared" si="0"/>
        <v>Low</v>
      </c>
    </row>
    <row r="14" spans="1:26" ht="14.25" customHeight="1" x14ac:dyDescent="0.3">
      <c r="A14" s="3" t="s">
        <v>14</v>
      </c>
      <c r="B14" s="3" t="s">
        <v>15</v>
      </c>
      <c r="C14" s="3" t="s">
        <v>33</v>
      </c>
      <c r="D14" s="3" t="s">
        <v>17</v>
      </c>
      <c r="E14" s="3" t="s">
        <v>26</v>
      </c>
      <c r="F14" s="3">
        <v>37</v>
      </c>
      <c r="G14" s="3">
        <v>5.0999999999999996</v>
      </c>
      <c r="H14" s="3">
        <v>7.0000000000000007E-2</v>
      </c>
      <c r="I14" s="3">
        <v>0.85</v>
      </c>
      <c r="J14" s="3">
        <v>4.37</v>
      </c>
      <c r="K14" s="3">
        <v>0</v>
      </c>
      <c r="L14" s="3">
        <v>22.65</v>
      </c>
      <c r="M14" s="4" t="str">
        <f t="shared" si="0"/>
        <v>Low</v>
      </c>
      <c r="O14" s="3" t="s">
        <v>34</v>
      </c>
      <c r="P14" s="3">
        <f>COUNTIF(M5:M449,"High")</f>
        <v>112</v>
      </c>
    </row>
    <row r="15" spans="1:26" ht="14.25" customHeight="1" x14ac:dyDescent="0.3">
      <c r="A15" s="3" t="s">
        <v>14</v>
      </c>
      <c r="B15" s="3" t="s">
        <v>15</v>
      </c>
      <c r="C15" s="3" t="s">
        <v>33</v>
      </c>
      <c r="D15" s="3" t="s">
        <v>19</v>
      </c>
      <c r="E15" s="3" t="s">
        <v>22</v>
      </c>
      <c r="F15" s="3">
        <v>64</v>
      </c>
      <c r="G15" s="3">
        <v>5.89</v>
      </c>
      <c r="H15" s="3">
        <v>0.17</v>
      </c>
      <c r="I15" s="3">
        <v>0.77</v>
      </c>
      <c r="J15" s="3">
        <v>4.43</v>
      </c>
      <c r="K15" s="3">
        <v>1</v>
      </c>
      <c r="L15" s="3">
        <v>25.84</v>
      </c>
      <c r="M15" s="4" t="str">
        <f t="shared" si="0"/>
        <v>Low</v>
      </c>
      <c r="O15" s="3" t="s">
        <v>35</v>
      </c>
      <c r="P15" s="3">
        <f>COUNTIF(M3:M450,"High")</f>
        <v>113</v>
      </c>
      <c r="Q15" s="3" t="s">
        <v>36</v>
      </c>
    </row>
    <row r="16" spans="1:26" ht="14.25" customHeight="1" x14ac:dyDescent="0.3">
      <c r="A16" s="3" t="s">
        <v>14</v>
      </c>
      <c r="B16" s="3" t="s">
        <v>15</v>
      </c>
      <c r="C16" s="3" t="s">
        <v>33</v>
      </c>
      <c r="D16" s="3" t="s">
        <v>21</v>
      </c>
      <c r="E16" s="3" t="s">
        <v>18</v>
      </c>
      <c r="F16" s="3">
        <v>43</v>
      </c>
      <c r="G16" s="3">
        <v>9.3699999999999992</v>
      </c>
      <c r="H16" s="3">
        <v>0.08</v>
      </c>
      <c r="I16" s="3">
        <v>0.61</v>
      </c>
      <c r="J16" s="3">
        <v>3.64</v>
      </c>
      <c r="K16" s="3">
        <v>0</v>
      </c>
      <c r="L16" s="3">
        <v>29.06</v>
      </c>
      <c r="M16" s="4" t="str">
        <f t="shared" si="0"/>
        <v>High</v>
      </c>
      <c r="O16" s="6" t="s">
        <v>37</v>
      </c>
      <c r="P16" s="3">
        <f>COUNTIF(M1:M448,"High")</f>
        <v>112</v>
      </c>
    </row>
    <row r="17" spans="1:17" ht="14.25" customHeight="1" x14ac:dyDescent="0.3">
      <c r="A17" s="3" t="s">
        <v>14</v>
      </c>
      <c r="B17" s="3" t="s">
        <v>38</v>
      </c>
      <c r="C17" s="3" t="s">
        <v>16</v>
      </c>
      <c r="D17" s="3" t="s">
        <v>17</v>
      </c>
      <c r="E17" s="3" t="s">
        <v>18</v>
      </c>
      <c r="F17" s="3">
        <v>61</v>
      </c>
      <c r="G17" s="3">
        <v>5.08</v>
      </c>
      <c r="H17" s="3">
        <v>0.11</v>
      </c>
      <c r="I17" s="3">
        <v>0.77</v>
      </c>
      <c r="J17" s="3">
        <v>4.29</v>
      </c>
      <c r="K17" s="3">
        <v>0</v>
      </c>
      <c r="L17" s="3">
        <v>22.62</v>
      </c>
      <c r="M17" s="4" t="str">
        <f t="shared" si="0"/>
        <v>Low</v>
      </c>
    </row>
    <row r="18" spans="1:17" ht="14.25" customHeight="1" x14ac:dyDescent="0.3">
      <c r="A18" s="3" t="s">
        <v>14</v>
      </c>
      <c r="B18" s="3" t="s">
        <v>38</v>
      </c>
      <c r="C18" s="3" t="s">
        <v>16</v>
      </c>
      <c r="D18" s="3" t="s">
        <v>19</v>
      </c>
      <c r="E18" s="3" t="s">
        <v>22</v>
      </c>
      <c r="F18" s="3">
        <v>42</v>
      </c>
      <c r="G18" s="3">
        <v>5.79</v>
      </c>
      <c r="H18" s="3">
        <v>0.09</v>
      </c>
      <c r="I18" s="3">
        <v>0.89</v>
      </c>
      <c r="J18" s="3">
        <v>4.55</v>
      </c>
      <c r="K18" s="3">
        <v>1</v>
      </c>
      <c r="L18" s="3">
        <v>25.68</v>
      </c>
      <c r="M18" s="4" t="str">
        <f t="shared" si="0"/>
        <v>Low</v>
      </c>
      <c r="O18" s="3" t="s">
        <v>39</v>
      </c>
      <c r="P18" s="3">
        <f>COUNTIF(M2:M151,"High")</f>
        <v>22</v>
      </c>
    </row>
    <row r="19" spans="1:17" ht="14.25" customHeight="1" x14ac:dyDescent="0.3">
      <c r="A19" s="3" t="s">
        <v>14</v>
      </c>
      <c r="B19" s="3" t="s">
        <v>38</v>
      </c>
      <c r="C19" s="3" t="s">
        <v>16</v>
      </c>
      <c r="D19" s="3" t="s">
        <v>21</v>
      </c>
      <c r="E19" s="3" t="s">
        <v>26</v>
      </c>
      <c r="F19" s="3">
        <v>57</v>
      </c>
      <c r="G19" s="3">
        <v>5.57</v>
      </c>
      <c r="H19" s="3">
        <v>0.05</v>
      </c>
      <c r="I19" s="3">
        <v>0.7</v>
      </c>
      <c r="J19" s="3">
        <v>4.6500000000000004</v>
      </c>
      <c r="K19" s="3">
        <v>0</v>
      </c>
      <c r="L19" s="3">
        <v>23.36</v>
      </c>
      <c r="M19" s="4" t="str">
        <f t="shared" si="0"/>
        <v>Low</v>
      </c>
      <c r="O19" s="3" t="s">
        <v>40</v>
      </c>
      <c r="P19" s="3">
        <f>COUNTIF(M152:M301,"High")</f>
        <v>64</v>
      </c>
      <c r="Q19" s="3" t="s">
        <v>41</v>
      </c>
    </row>
    <row r="20" spans="1:17" ht="14.25" customHeight="1" x14ac:dyDescent="0.3">
      <c r="A20" s="3" t="s">
        <v>14</v>
      </c>
      <c r="B20" s="3" t="s">
        <v>38</v>
      </c>
      <c r="C20" s="3" t="s">
        <v>24</v>
      </c>
      <c r="D20" s="3" t="s">
        <v>17</v>
      </c>
      <c r="E20" s="3" t="s">
        <v>22</v>
      </c>
      <c r="F20" s="3">
        <v>54</v>
      </c>
      <c r="G20" s="3">
        <v>5.3</v>
      </c>
      <c r="H20" s="3">
        <v>0.11</v>
      </c>
      <c r="I20" s="3">
        <v>0.81</v>
      </c>
      <c r="J20" s="3">
        <v>4.5599999999999996</v>
      </c>
      <c r="K20" s="3">
        <v>2</v>
      </c>
      <c r="L20" s="3">
        <v>26.95</v>
      </c>
      <c r="M20" s="4" t="str">
        <f t="shared" si="0"/>
        <v>Low</v>
      </c>
      <c r="O20" s="3" t="s">
        <v>42</v>
      </c>
      <c r="P20" s="3">
        <f>COUNTIF(M302:M451,"High")</f>
        <v>27</v>
      </c>
    </row>
    <row r="21" spans="1:17" ht="14.25" customHeight="1" x14ac:dyDescent="0.3">
      <c r="A21" s="3" t="s">
        <v>14</v>
      </c>
      <c r="B21" s="3" t="s">
        <v>38</v>
      </c>
      <c r="C21" s="3" t="s">
        <v>24</v>
      </c>
      <c r="D21" s="3" t="s">
        <v>19</v>
      </c>
      <c r="E21" s="3" t="s">
        <v>22</v>
      </c>
      <c r="F21" s="3">
        <v>37</v>
      </c>
      <c r="G21" s="3">
        <v>5.67</v>
      </c>
      <c r="H21" s="3">
        <v>0.18</v>
      </c>
      <c r="I21" s="3">
        <v>0.82</v>
      </c>
      <c r="J21" s="3">
        <v>4.4000000000000004</v>
      </c>
      <c r="K21" s="3">
        <v>0</v>
      </c>
      <c r="L21" s="3">
        <v>23.5</v>
      </c>
      <c r="M21" s="4" t="str">
        <f t="shared" si="0"/>
        <v>Low</v>
      </c>
    </row>
    <row r="22" spans="1:17" ht="14.25" customHeight="1" x14ac:dyDescent="0.3">
      <c r="A22" s="3" t="s">
        <v>14</v>
      </c>
      <c r="B22" s="3" t="s">
        <v>38</v>
      </c>
      <c r="C22" s="3" t="s">
        <v>24</v>
      </c>
      <c r="D22" s="3" t="s">
        <v>21</v>
      </c>
      <c r="E22" s="3" t="s">
        <v>22</v>
      </c>
      <c r="F22" s="3">
        <v>61</v>
      </c>
      <c r="G22" s="3">
        <v>7.89</v>
      </c>
      <c r="H22" s="3">
        <v>0.14000000000000001</v>
      </c>
      <c r="I22" s="3">
        <v>0.84</v>
      </c>
      <c r="J22" s="3">
        <v>4.75</v>
      </c>
      <c r="K22" s="3">
        <v>0</v>
      </c>
      <c r="L22" s="3">
        <v>26.84</v>
      </c>
      <c r="M22" s="4" t="str">
        <f t="shared" si="0"/>
        <v>Low</v>
      </c>
    </row>
    <row r="23" spans="1:17" ht="14.25" customHeight="1" x14ac:dyDescent="0.3">
      <c r="A23" s="3" t="s">
        <v>14</v>
      </c>
      <c r="B23" s="3" t="s">
        <v>38</v>
      </c>
      <c r="C23" s="3" t="s">
        <v>29</v>
      </c>
      <c r="D23" s="3" t="s">
        <v>17</v>
      </c>
      <c r="E23" s="3" t="s">
        <v>18</v>
      </c>
      <c r="F23" s="3">
        <v>78</v>
      </c>
      <c r="G23" s="3">
        <v>6.17</v>
      </c>
      <c r="H23" s="3">
        <v>0.04</v>
      </c>
      <c r="I23" s="3">
        <v>0.9</v>
      </c>
      <c r="J23" s="3">
        <v>3.85</v>
      </c>
      <c r="K23" s="3">
        <v>3</v>
      </c>
      <c r="L23" s="3">
        <v>30.26</v>
      </c>
      <c r="M23" s="4" t="str">
        <f t="shared" si="0"/>
        <v>High</v>
      </c>
    </row>
    <row r="24" spans="1:17" ht="14.25" customHeight="1" x14ac:dyDescent="0.3">
      <c r="A24" s="3" t="s">
        <v>14</v>
      </c>
      <c r="B24" s="3" t="s">
        <v>38</v>
      </c>
      <c r="C24" s="3" t="s">
        <v>29</v>
      </c>
      <c r="D24" s="3" t="s">
        <v>19</v>
      </c>
      <c r="E24" s="3" t="s">
        <v>18</v>
      </c>
      <c r="F24" s="3">
        <v>52</v>
      </c>
      <c r="G24" s="3">
        <v>6.48</v>
      </c>
      <c r="H24" s="3">
        <v>0.05</v>
      </c>
      <c r="I24" s="3">
        <v>0.77</v>
      </c>
      <c r="J24" s="3">
        <v>4.1399999999999997</v>
      </c>
      <c r="K24" s="3">
        <v>3</v>
      </c>
      <c r="L24" s="3">
        <v>30.72</v>
      </c>
      <c r="M24" s="4" t="str">
        <f t="shared" si="0"/>
        <v>High</v>
      </c>
    </row>
    <row r="25" spans="1:17" ht="14.25" customHeight="1" x14ac:dyDescent="0.3">
      <c r="A25" s="3" t="s">
        <v>14</v>
      </c>
      <c r="B25" s="3" t="s">
        <v>38</v>
      </c>
      <c r="C25" s="3" t="s">
        <v>29</v>
      </c>
      <c r="D25" s="3" t="s">
        <v>21</v>
      </c>
      <c r="E25" s="3" t="s">
        <v>22</v>
      </c>
      <c r="F25" s="3">
        <v>33</v>
      </c>
      <c r="G25" s="3">
        <v>5.74</v>
      </c>
      <c r="H25" s="3">
        <v>7.0000000000000007E-2</v>
      </c>
      <c r="I25" s="3">
        <v>0.69</v>
      </c>
      <c r="J25" s="3">
        <v>3.81</v>
      </c>
      <c r="K25" s="3">
        <v>2</v>
      </c>
      <c r="L25" s="3">
        <v>27.61</v>
      </c>
      <c r="M25" s="4" t="str">
        <f t="shared" si="0"/>
        <v>Low</v>
      </c>
    </row>
    <row r="26" spans="1:17" ht="14.25" customHeight="1" x14ac:dyDescent="0.3">
      <c r="A26" s="3" t="s">
        <v>14</v>
      </c>
      <c r="B26" s="3" t="s">
        <v>38</v>
      </c>
      <c r="C26" s="3" t="s">
        <v>32</v>
      </c>
      <c r="D26" s="3" t="s">
        <v>17</v>
      </c>
      <c r="E26" s="3" t="s">
        <v>18</v>
      </c>
      <c r="F26" s="3">
        <v>63</v>
      </c>
      <c r="G26" s="3">
        <v>6.59</v>
      </c>
      <c r="H26" s="3">
        <v>0.03</v>
      </c>
      <c r="I26" s="3">
        <v>0.88</v>
      </c>
      <c r="J26" s="3">
        <v>3.92</v>
      </c>
      <c r="K26" s="3">
        <v>0</v>
      </c>
      <c r="L26" s="3">
        <v>24.88</v>
      </c>
      <c r="M26" s="4" t="str">
        <f t="shared" si="0"/>
        <v>Low</v>
      </c>
    </row>
    <row r="27" spans="1:17" ht="14.25" customHeight="1" x14ac:dyDescent="0.3">
      <c r="A27" s="3" t="s">
        <v>14</v>
      </c>
      <c r="B27" s="3" t="s">
        <v>38</v>
      </c>
      <c r="C27" s="3" t="s">
        <v>32</v>
      </c>
      <c r="D27" s="3" t="s">
        <v>19</v>
      </c>
      <c r="E27" s="3" t="s">
        <v>22</v>
      </c>
      <c r="F27" s="3">
        <v>49</v>
      </c>
      <c r="G27" s="3">
        <v>8.19</v>
      </c>
      <c r="H27" s="3">
        <v>0.13</v>
      </c>
      <c r="I27" s="3">
        <v>0.78</v>
      </c>
      <c r="J27" s="3">
        <v>4.42</v>
      </c>
      <c r="K27" s="3">
        <v>2</v>
      </c>
      <c r="L27" s="3">
        <v>31.28</v>
      </c>
      <c r="M27" s="4" t="str">
        <f t="shared" si="0"/>
        <v>High</v>
      </c>
    </row>
    <row r="28" spans="1:17" ht="14.25" customHeight="1" x14ac:dyDescent="0.3">
      <c r="A28" s="3" t="s">
        <v>14</v>
      </c>
      <c r="B28" s="3" t="s">
        <v>38</v>
      </c>
      <c r="C28" s="3" t="s">
        <v>32</v>
      </c>
      <c r="D28" s="3" t="s">
        <v>21</v>
      </c>
      <c r="E28" s="3" t="s">
        <v>18</v>
      </c>
      <c r="F28" s="3">
        <v>36</v>
      </c>
      <c r="G28" s="3">
        <v>6.54</v>
      </c>
      <c r="H28" s="3">
        <v>7.0000000000000007E-2</v>
      </c>
      <c r="I28" s="3">
        <v>0.83</v>
      </c>
      <c r="J28" s="3">
        <v>3.68</v>
      </c>
      <c r="K28" s="3">
        <v>0</v>
      </c>
      <c r="L28" s="3">
        <v>24.81</v>
      </c>
      <c r="M28" s="4" t="str">
        <f t="shared" si="0"/>
        <v>Low</v>
      </c>
    </row>
    <row r="29" spans="1:17" ht="14.25" customHeight="1" x14ac:dyDescent="0.3">
      <c r="A29" s="3" t="s">
        <v>14</v>
      </c>
      <c r="B29" s="3" t="s">
        <v>38</v>
      </c>
      <c r="C29" s="3" t="s">
        <v>33</v>
      </c>
      <c r="D29" s="3" t="s">
        <v>17</v>
      </c>
      <c r="E29" s="3" t="s">
        <v>22</v>
      </c>
      <c r="F29" s="3">
        <v>52</v>
      </c>
      <c r="G29" s="3">
        <v>5.09</v>
      </c>
      <c r="H29" s="3">
        <v>0.19</v>
      </c>
      <c r="I29" s="3">
        <v>0.85</v>
      </c>
      <c r="J29" s="3">
        <v>3.8</v>
      </c>
      <c r="K29" s="3">
        <v>0</v>
      </c>
      <c r="L29" s="3">
        <v>22.64</v>
      </c>
      <c r="M29" s="4" t="str">
        <f t="shared" si="0"/>
        <v>Low</v>
      </c>
    </row>
    <row r="30" spans="1:17" ht="14.25" customHeight="1" x14ac:dyDescent="0.3">
      <c r="A30" s="3" t="s">
        <v>14</v>
      </c>
      <c r="B30" s="3" t="s">
        <v>38</v>
      </c>
      <c r="C30" s="3" t="s">
        <v>33</v>
      </c>
      <c r="D30" s="3" t="s">
        <v>19</v>
      </c>
      <c r="E30" s="3" t="s">
        <v>26</v>
      </c>
      <c r="F30" s="3">
        <v>78</v>
      </c>
      <c r="G30" s="3">
        <v>5.68</v>
      </c>
      <c r="H30" s="3">
        <v>0.14000000000000001</v>
      </c>
      <c r="I30" s="3">
        <v>0.89</v>
      </c>
      <c r="J30" s="3">
        <v>4.32</v>
      </c>
      <c r="K30" s="3">
        <v>0</v>
      </c>
      <c r="L30" s="3">
        <v>23.52</v>
      </c>
      <c r="M30" s="4" t="str">
        <f t="shared" si="0"/>
        <v>Low</v>
      </c>
    </row>
    <row r="31" spans="1:17" ht="14.25" customHeight="1" x14ac:dyDescent="0.3">
      <c r="A31" s="3" t="s">
        <v>14</v>
      </c>
      <c r="B31" s="3" t="s">
        <v>38</v>
      </c>
      <c r="C31" s="3" t="s">
        <v>33</v>
      </c>
      <c r="D31" s="3" t="s">
        <v>21</v>
      </c>
      <c r="E31" s="3" t="s">
        <v>18</v>
      </c>
      <c r="F31" s="3">
        <v>77</v>
      </c>
      <c r="G31" s="3">
        <v>5.79</v>
      </c>
      <c r="H31" s="3">
        <v>0.13</v>
      </c>
      <c r="I31" s="3">
        <v>0.81</v>
      </c>
      <c r="J31" s="3">
        <v>4.03</v>
      </c>
      <c r="K31" s="3">
        <v>2</v>
      </c>
      <c r="L31" s="3">
        <v>27.68</v>
      </c>
      <c r="M31" s="4" t="str">
        <f t="shared" si="0"/>
        <v>Low</v>
      </c>
    </row>
    <row r="32" spans="1:17" ht="14.25" customHeight="1" x14ac:dyDescent="0.3">
      <c r="A32" s="3" t="s">
        <v>14</v>
      </c>
      <c r="B32" s="3" t="s">
        <v>43</v>
      </c>
      <c r="C32" s="3" t="s">
        <v>16</v>
      </c>
      <c r="D32" s="3" t="s">
        <v>17</v>
      </c>
      <c r="E32" s="3" t="s">
        <v>26</v>
      </c>
      <c r="F32" s="3">
        <v>78</v>
      </c>
      <c r="G32" s="3">
        <v>6.29</v>
      </c>
      <c r="H32" s="3">
        <v>0.02</v>
      </c>
      <c r="I32" s="3">
        <v>0.77</v>
      </c>
      <c r="J32" s="3">
        <v>4.21</v>
      </c>
      <c r="K32" s="3">
        <v>1</v>
      </c>
      <c r="L32" s="3">
        <v>26.44</v>
      </c>
      <c r="M32" s="4" t="str">
        <f t="shared" si="0"/>
        <v>Low</v>
      </c>
    </row>
    <row r="33" spans="1:13" ht="14.25" customHeight="1" x14ac:dyDescent="0.3">
      <c r="A33" s="3" t="s">
        <v>14</v>
      </c>
      <c r="B33" s="3" t="s">
        <v>43</v>
      </c>
      <c r="C33" s="3" t="s">
        <v>16</v>
      </c>
      <c r="D33" s="3" t="s">
        <v>19</v>
      </c>
      <c r="E33" s="3" t="s">
        <v>18</v>
      </c>
      <c r="F33" s="3">
        <v>70</v>
      </c>
      <c r="G33" s="3">
        <v>5.29</v>
      </c>
      <c r="H33" s="3">
        <v>0.04</v>
      </c>
      <c r="I33" s="3">
        <v>0.75</v>
      </c>
      <c r="J33" s="3">
        <v>4.1399999999999997</v>
      </c>
      <c r="K33" s="3">
        <v>0</v>
      </c>
      <c r="L33" s="3">
        <v>22.94</v>
      </c>
      <c r="M33" s="4" t="str">
        <f t="shared" si="0"/>
        <v>Low</v>
      </c>
    </row>
    <row r="34" spans="1:13" ht="14.25" customHeight="1" x14ac:dyDescent="0.3">
      <c r="A34" s="3" t="s">
        <v>14</v>
      </c>
      <c r="B34" s="3" t="s">
        <v>43</v>
      </c>
      <c r="C34" s="3" t="s">
        <v>16</v>
      </c>
      <c r="D34" s="3" t="s">
        <v>21</v>
      </c>
      <c r="E34" s="3" t="s">
        <v>18</v>
      </c>
      <c r="F34" s="3">
        <v>37</v>
      </c>
      <c r="G34" s="3">
        <v>6.42</v>
      </c>
      <c r="H34" s="3">
        <v>0.09</v>
      </c>
      <c r="I34" s="3">
        <v>0.62</v>
      </c>
      <c r="J34" s="3">
        <v>3.98</v>
      </c>
      <c r="K34" s="3">
        <v>0</v>
      </c>
      <c r="L34" s="3">
        <v>24.63</v>
      </c>
      <c r="M34" s="4" t="str">
        <f t="shared" si="0"/>
        <v>Low</v>
      </c>
    </row>
    <row r="35" spans="1:13" ht="14.25" customHeight="1" x14ac:dyDescent="0.3">
      <c r="A35" s="3" t="s">
        <v>14</v>
      </c>
      <c r="B35" s="3" t="s">
        <v>43</v>
      </c>
      <c r="C35" s="3" t="s">
        <v>24</v>
      </c>
      <c r="D35" s="3" t="s">
        <v>17</v>
      </c>
      <c r="E35" s="3" t="s">
        <v>22</v>
      </c>
      <c r="F35" s="3">
        <v>67</v>
      </c>
      <c r="G35" s="3">
        <v>6.94</v>
      </c>
      <c r="H35" s="3">
        <v>0.28999999999999998</v>
      </c>
      <c r="I35" s="3">
        <v>0.82</v>
      </c>
      <c r="J35" s="3">
        <v>4.68</v>
      </c>
      <c r="K35" s="3">
        <v>0</v>
      </c>
      <c r="L35" s="3">
        <v>25.41</v>
      </c>
      <c r="M35" s="4" t="str">
        <f t="shared" si="0"/>
        <v>Low</v>
      </c>
    </row>
    <row r="36" spans="1:13" ht="14.25" customHeight="1" x14ac:dyDescent="0.3">
      <c r="A36" s="3" t="s">
        <v>14</v>
      </c>
      <c r="B36" s="3" t="s">
        <v>43</v>
      </c>
      <c r="C36" s="3" t="s">
        <v>24</v>
      </c>
      <c r="D36" s="3" t="s">
        <v>19</v>
      </c>
      <c r="E36" s="3" t="s">
        <v>18</v>
      </c>
      <c r="F36" s="3">
        <v>62</v>
      </c>
      <c r="G36" s="3">
        <v>5.74</v>
      </c>
      <c r="H36" s="3">
        <v>0.05</v>
      </c>
      <c r="I36" s="3">
        <v>0.86</v>
      </c>
      <c r="J36" s="3">
        <v>3.87</v>
      </c>
      <c r="K36" s="3">
        <v>0</v>
      </c>
      <c r="L36" s="3">
        <v>23.61</v>
      </c>
      <c r="M36" s="4" t="str">
        <f t="shared" si="0"/>
        <v>Low</v>
      </c>
    </row>
    <row r="37" spans="1:13" ht="14.25" customHeight="1" x14ac:dyDescent="0.3">
      <c r="A37" s="3" t="s">
        <v>14</v>
      </c>
      <c r="B37" s="3" t="s">
        <v>43</v>
      </c>
      <c r="C37" s="3" t="s">
        <v>24</v>
      </c>
      <c r="D37" s="3" t="s">
        <v>21</v>
      </c>
      <c r="E37" s="3" t="s">
        <v>18</v>
      </c>
      <c r="F37" s="3">
        <v>46</v>
      </c>
      <c r="G37" s="3">
        <v>8.7200000000000006</v>
      </c>
      <c r="H37" s="3">
        <v>0.15</v>
      </c>
      <c r="I37" s="3">
        <v>0.72</v>
      </c>
      <c r="J37" s="3">
        <v>3.86</v>
      </c>
      <c r="K37" s="3">
        <v>2</v>
      </c>
      <c r="L37" s="3">
        <v>32.08</v>
      </c>
      <c r="M37" s="4" t="str">
        <f t="shared" si="0"/>
        <v>High</v>
      </c>
    </row>
    <row r="38" spans="1:13" ht="14.25" customHeight="1" x14ac:dyDescent="0.3">
      <c r="A38" s="3" t="s">
        <v>14</v>
      </c>
      <c r="B38" s="3" t="s">
        <v>43</v>
      </c>
      <c r="C38" s="3" t="s">
        <v>29</v>
      </c>
      <c r="D38" s="3" t="s">
        <v>17</v>
      </c>
      <c r="E38" s="3" t="s">
        <v>26</v>
      </c>
      <c r="F38" s="3">
        <v>66</v>
      </c>
      <c r="G38" s="3">
        <v>5.88</v>
      </c>
      <c r="H38" s="3">
        <v>0.15</v>
      </c>
      <c r="I38" s="3">
        <v>0.89</v>
      </c>
      <c r="J38" s="3">
        <v>4.6100000000000003</v>
      </c>
      <c r="K38" s="3">
        <v>0</v>
      </c>
      <c r="L38" s="3">
        <v>23.82</v>
      </c>
      <c r="M38" s="4" t="str">
        <f t="shared" si="0"/>
        <v>Low</v>
      </c>
    </row>
    <row r="39" spans="1:13" ht="14.25" customHeight="1" x14ac:dyDescent="0.3">
      <c r="A39" s="3" t="s">
        <v>14</v>
      </c>
      <c r="B39" s="3" t="s">
        <v>43</v>
      </c>
      <c r="C39" s="3" t="s">
        <v>29</v>
      </c>
      <c r="D39" s="3" t="s">
        <v>19</v>
      </c>
      <c r="E39" s="3" t="s">
        <v>18</v>
      </c>
      <c r="F39" s="3">
        <v>52</v>
      </c>
      <c r="G39" s="3">
        <v>6.74</v>
      </c>
      <c r="H39" s="3">
        <v>0.05</v>
      </c>
      <c r="I39" s="3">
        <v>0.82</v>
      </c>
      <c r="J39" s="3">
        <v>3.98</v>
      </c>
      <c r="K39" s="3">
        <v>0</v>
      </c>
      <c r="L39" s="3">
        <v>25.11</v>
      </c>
      <c r="M39" s="4" t="str">
        <f t="shared" si="0"/>
        <v>Low</v>
      </c>
    </row>
    <row r="40" spans="1:13" ht="14.25" customHeight="1" x14ac:dyDescent="0.3">
      <c r="A40" s="3" t="s">
        <v>14</v>
      </c>
      <c r="B40" s="3" t="s">
        <v>43</v>
      </c>
      <c r="C40" s="3" t="s">
        <v>29</v>
      </c>
      <c r="D40" s="3" t="s">
        <v>21</v>
      </c>
      <c r="E40" s="3" t="s">
        <v>26</v>
      </c>
      <c r="F40" s="3">
        <v>32</v>
      </c>
      <c r="G40" s="3">
        <v>5.12</v>
      </c>
      <c r="H40" s="3">
        <v>0.1</v>
      </c>
      <c r="I40" s="3">
        <v>0.85</v>
      </c>
      <c r="J40" s="3">
        <v>3.68</v>
      </c>
      <c r="K40" s="3">
        <v>0</v>
      </c>
      <c r="L40" s="3">
        <v>22.68</v>
      </c>
      <c r="M40" s="4" t="str">
        <f t="shared" si="0"/>
        <v>Low</v>
      </c>
    </row>
    <row r="41" spans="1:13" ht="14.25" customHeight="1" x14ac:dyDescent="0.3">
      <c r="A41" s="3" t="s">
        <v>14</v>
      </c>
      <c r="B41" s="3" t="s">
        <v>43</v>
      </c>
      <c r="C41" s="3" t="s">
        <v>32</v>
      </c>
      <c r="D41" s="3" t="s">
        <v>17</v>
      </c>
      <c r="E41" s="3" t="s">
        <v>26</v>
      </c>
      <c r="F41" s="3">
        <v>46</v>
      </c>
      <c r="G41" s="3">
        <v>6.15</v>
      </c>
      <c r="H41" s="3">
        <v>0.13</v>
      </c>
      <c r="I41" s="3">
        <v>0.77</v>
      </c>
      <c r="J41" s="3">
        <v>4.42</v>
      </c>
      <c r="K41" s="3">
        <v>0</v>
      </c>
      <c r="L41" s="3">
        <v>24.22</v>
      </c>
      <c r="M41" s="4" t="str">
        <f t="shared" si="0"/>
        <v>Low</v>
      </c>
    </row>
    <row r="42" spans="1:13" ht="14.25" customHeight="1" x14ac:dyDescent="0.3">
      <c r="A42" s="3" t="s">
        <v>14</v>
      </c>
      <c r="B42" s="3" t="s">
        <v>43</v>
      </c>
      <c r="C42" s="3" t="s">
        <v>32</v>
      </c>
      <c r="D42" s="3" t="s">
        <v>19</v>
      </c>
      <c r="E42" s="3" t="s">
        <v>22</v>
      </c>
      <c r="F42" s="3">
        <v>55</v>
      </c>
      <c r="G42" s="3">
        <v>6.3</v>
      </c>
      <c r="H42" s="3">
        <v>0.28000000000000003</v>
      </c>
      <c r="I42" s="3">
        <v>0.83</v>
      </c>
      <c r="J42" s="3">
        <v>4.1500000000000004</v>
      </c>
      <c r="K42" s="3">
        <v>1</v>
      </c>
      <c r="L42" s="3">
        <v>26.45</v>
      </c>
      <c r="M42" s="4" t="str">
        <f t="shared" si="0"/>
        <v>Low</v>
      </c>
    </row>
    <row r="43" spans="1:13" ht="14.25" customHeight="1" x14ac:dyDescent="0.3">
      <c r="A43" s="3" t="s">
        <v>14</v>
      </c>
      <c r="B43" s="3" t="s">
        <v>43</v>
      </c>
      <c r="C43" s="3" t="s">
        <v>32</v>
      </c>
      <c r="D43" s="3" t="s">
        <v>21</v>
      </c>
      <c r="E43" s="3" t="s">
        <v>18</v>
      </c>
      <c r="F43" s="3">
        <v>75</v>
      </c>
      <c r="G43" s="3">
        <v>6.26</v>
      </c>
      <c r="H43" s="3">
        <v>0.12</v>
      </c>
      <c r="I43" s="3">
        <v>0.82</v>
      </c>
      <c r="J43" s="3">
        <v>3.94</v>
      </c>
      <c r="K43" s="3">
        <v>0</v>
      </c>
      <c r="L43" s="3">
        <v>24.39</v>
      </c>
      <c r="M43" s="4" t="str">
        <f t="shared" si="0"/>
        <v>Low</v>
      </c>
    </row>
    <row r="44" spans="1:13" ht="14.25" customHeight="1" x14ac:dyDescent="0.3">
      <c r="A44" s="3" t="s">
        <v>14</v>
      </c>
      <c r="B44" s="3" t="s">
        <v>43</v>
      </c>
      <c r="C44" s="3" t="s">
        <v>33</v>
      </c>
      <c r="D44" s="3" t="s">
        <v>17</v>
      </c>
      <c r="E44" s="3" t="s">
        <v>22</v>
      </c>
      <c r="F44" s="3">
        <v>52</v>
      </c>
      <c r="G44" s="3">
        <v>4.8</v>
      </c>
      <c r="H44" s="3">
        <v>0.09</v>
      </c>
      <c r="I44" s="3">
        <v>0.9</v>
      </c>
      <c r="J44" s="3">
        <v>4.59</v>
      </c>
      <c r="K44" s="3">
        <v>2</v>
      </c>
      <c r="L44" s="3">
        <v>26.2</v>
      </c>
      <c r="M44" s="4" t="str">
        <f t="shared" si="0"/>
        <v>Low</v>
      </c>
    </row>
    <row r="45" spans="1:13" ht="14.25" customHeight="1" x14ac:dyDescent="0.3">
      <c r="A45" s="3" t="s">
        <v>14</v>
      </c>
      <c r="B45" s="3" t="s">
        <v>43</v>
      </c>
      <c r="C45" s="3" t="s">
        <v>33</v>
      </c>
      <c r="D45" s="3" t="s">
        <v>19</v>
      </c>
      <c r="E45" s="3" t="s">
        <v>22</v>
      </c>
      <c r="F45" s="3">
        <v>71</v>
      </c>
      <c r="G45" s="3">
        <v>7.2</v>
      </c>
      <c r="H45" s="3">
        <v>0.26</v>
      </c>
      <c r="I45" s="3">
        <v>0.8</v>
      </c>
      <c r="J45" s="3">
        <v>3.67</v>
      </c>
      <c r="K45" s="3">
        <v>0</v>
      </c>
      <c r="L45" s="3">
        <v>25.8</v>
      </c>
      <c r="M45" s="4" t="str">
        <f t="shared" si="0"/>
        <v>Low</v>
      </c>
    </row>
    <row r="46" spans="1:13" ht="14.25" customHeight="1" x14ac:dyDescent="0.3">
      <c r="A46" s="3" t="s">
        <v>14</v>
      </c>
      <c r="B46" s="3" t="s">
        <v>43</v>
      </c>
      <c r="C46" s="3" t="s">
        <v>33</v>
      </c>
      <c r="D46" s="3" t="s">
        <v>21</v>
      </c>
      <c r="E46" s="3" t="s">
        <v>26</v>
      </c>
      <c r="F46" s="3">
        <v>73</v>
      </c>
      <c r="G46" s="3">
        <v>5.95</v>
      </c>
      <c r="H46" s="3">
        <v>0.13</v>
      </c>
      <c r="I46" s="3">
        <v>0.65</v>
      </c>
      <c r="J46" s="3">
        <v>4.03</v>
      </c>
      <c r="K46" s="3">
        <v>1</v>
      </c>
      <c r="L46" s="3">
        <v>25.92</v>
      </c>
      <c r="M46" s="4" t="str">
        <f t="shared" si="0"/>
        <v>Low</v>
      </c>
    </row>
    <row r="47" spans="1:13" ht="14.25" customHeight="1" x14ac:dyDescent="0.3">
      <c r="A47" s="3" t="s">
        <v>14</v>
      </c>
      <c r="B47" s="3" t="s">
        <v>44</v>
      </c>
      <c r="C47" s="3" t="s">
        <v>16</v>
      </c>
      <c r="D47" s="3" t="s">
        <v>17</v>
      </c>
      <c r="E47" s="3" t="s">
        <v>22</v>
      </c>
      <c r="F47" s="3">
        <v>45</v>
      </c>
      <c r="G47" s="3">
        <v>6.52</v>
      </c>
      <c r="H47" s="3">
        <v>0.28999999999999998</v>
      </c>
      <c r="I47" s="3">
        <v>0.83</v>
      </c>
      <c r="J47" s="3">
        <v>3.92</v>
      </c>
      <c r="K47" s="3">
        <v>1</v>
      </c>
      <c r="L47" s="3">
        <v>26.78</v>
      </c>
      <c r="M47" s="4" t="str">
        <f t="shared" si="0"/>
        <v>Low</v>
      </c>
    </row>
    <row r="48" spans="1:13" ht="14.25" customHeight="1" x14ac:dyDescent="0.3">
      <c r="A48" s="3" t="s">
        <v>14</v>
      </c>
      <c r="B48" s="3" t="s">
        <v>44</v>
      </c>
      <c r="C48" s="3" t="s">
        <v>16</v>
      </c>
      <c r="D48" s="3" t="s">
        <v>19</v>
      </c>
      <c r="E48" s="3" t="s">
        <v>22</v>
      </c>
      <c r="F48" s="3">
        <v>57</v>
      </c>
      <c r="G48" s="3">
        <v>5.14</v>
      </c>
      <c r="H48" s="3">
        <v>0.1</v>
      </c>
      <c r="I48" s="3">
        <v>0.76</v>
      </c>
      <c r="J48" s="3">
        <v>4.0599999999999996</v>
      </c>
      <c r="K48" s="3">
        <v>1</v>
      </c>
      <c r="L48" s="3">
        <v>24.71</v>
      </c>
      <c r="M48" s="4" t="str">
        <f t="shared" si="0"/>
        <v>Low</v>
      </c>
    </row>
    <row r="49" spans="1:13" ht="14.25" customHeight="1" x14ac:dyDescent="0.3">
      <c r="A49" s="3" t="s">
        <v>14</v>
      </c>
      <c r="B49" s="3" t="s">
        <v>44</v>
      </c>
      <c r="C49" s="3" t="s">
        <v>16</v>
      </c>
      <c r="D49" s="3" t="s">
        <v>21</v>
      </c>
      <c r="E49" s="3" t="s">
        <v>22</v>
      </c>
      <c r="F49" s="3">
        <v>30</v>
      </c>
      <c r="G49" s="3">
        <v>6.84</v>
      </c>
      <c r="H49" s="3">
        <v>0.16</v>
      </c>
      <c r="I49" s="3">
        <v>0.66</v>
      </c>
      <c r="J49" s="3">
        <v>3.62</v>
      </c>
      <c r="K49" s="3">
        <v>0</v>
      </c>
      <c r="L49" s="3">
        <v>25.26</v>
      </c>
      <c r="M49" s="4" t="str">
        <f t="shared" si="0"/>
        <v>Low</v>
      </c>
    </row>
    <row r="50" spans="1:13" ht="14.25" customHeight="1" x14ac:dyDescent="0.3">
      <c r="A50" s="3" t="s">
        <v>14</v>
      </c>
      <c r="B50" s="3" t="s">
        <v>44</v>
      </c>
      <c r="C50" s="3" t="s">
        <v>24</v>
      </c>
      <c r="D50" s="3" t="s">
        <v>17</v>
      </c>
      <c r="E50" s="3" t="s">
        <v>26</v>
      </c>
      <c r="F50" s="3">
        <v>30</v>
      </c>
      <c r="G50" s="3">
        <v>8.1199999999999992</v>
      </c>
      <c r="H50" s="3">
        <v>7.0000000000000007E-2</v>
      </c>
      <c r="I50" s="3">
        <v>0.79</v>
      </c>
      <c r="J50" s="3">
        <v>3.96</v>
      </c>
      <c r="K50" s="3">
        <v>1</v>
      </c>
      <c r="L50" s="3">
        <v>29.18</v>
      </c>
      <c r="M50" s="4" t="str">
        <f t="shared" si="0"/>
        <v>High</v>
      </c>
    </row>
    <row r="51" spans="1:13" ht="14.25" customHeight="1" x14ac:dyDescent="0.3">
      <c r="A51" s="3" t="s">
        <v>14</v>
      </c>
      <c r="B51" s="3" t="s">
        <v>44</v>
      </c>
      <c r="C51" s="3" t="s">
        <v>24</v>
      </c>
      <c r="D51" s="3" t="s">
        <v>19</v>
      </c>
      <c r="E51" s="3" t="s">
        <v>22</v>
      </c>
      <c r="F51" s="3">
        <v>43</v>
      </c>
      <c r="G51" s="3">
        <v>7.03</v>
      </c>
      <c r="H51" s="3">
        <v>7.0000000000000007E-2</v>
      </c>
      <c r="I51" s="3">
        <v>0.76</v>
      </c>
      <c r="J51" s="3">
        <v>3.9</v>
      </c>
      <c r="K51" s="3">
        <v>3</v>
      </c>
      <c r="L51" s="3">
        <v>31.54</v>
      </c>
      <c r="M51" s="4" t="str">
        <f t="shared" si="0"/>
        <v>High</v>
      </c>
    </row>
    <row r="52" spans="1:13" ht="14.25" customHeight="1" x14ac:dyDescent="0.3">
      <c r="A52" s="3" t="s">
        <v>14</v>
      </c>
      <c r="B52" s="3" t="s">
        <v>44</v>
      </c>
      <c r="C52" s="3" t="s">
        <v>24</v>
      </c>
      <c r="D52" s="3" t="s">
        <v>21</v>
      </c>
      <c r="E52" s="3" t="s">
        <v>22</v>
      </c>
      <c r="F52" s="3">
        <v>45</v>
      </c>
      <c r="G52" s="3">
        <v>5.98</v>
      </c>
      <c r="H52" s="3">
        <v>0.17</v>
      </c>
      <c r="I52" s="3">
        <v>0.64</v>
      </c>
      <c r="J52" s="3">
        <v>4.0599999999999996</v>
      </c>
      <c r="K52" s="3">
        <v>0</v>
      </c>
      <c r="L52" s="3">
        <v>23.97</v>
      </c>
      <c r="M52" s="4" t="str">
        <f t="shared" si="0"/>
        <v>Low</v>
      </c>
    </row>
    <row r="53" spans="1:13" ht="14.25" customHeight="1" x14ac:dyDescent="0.3">
      <c r="A53" s="3" t="s">
        <v>14</v>
      </c>
      <c r="B53" s="3" t="s">
        <v>44</v>
      </c>
      <c r="C53" s="3" t="s">
        <v>29</v>
      </c>
      <c r="D53" s="3" t="s">
        <v>17</v>
      </c>
      <c r="E53" s="3" t="s">
        <v>18</v>
      </c>
      <c r="F53" s="3">
        <v>34</v>
      </c>
      <c r="G53" s="3">
        <v>5.07</v>
      </c>
      <c r="H53" s="3">
        <v>0.14000000000000001</v>
      </c>
      <c r="I53" s="3">
        <v>0.79</v>
      </c>
      <c r="J53" s="3">
        <v>3.52</v>
      </c>
      <c r="K53" s="3">
        <v>2</v>
      </c>
      <c r="L53" s="3">
        <v>26.6</v>
      </c>
      <c r="M53" s="4" t="str">
        <f t="shared" si="0"/>
        <v>Low</v>
      </c>
    </row>
    <row r="54" spans="1:13" ht="14.25" customHeight="1" x14ac:dyDescent="0.3">
      <c r="A54" s="3" t="s">
        <v>14</v>
      </c>
      <c r="B54" s="3" t="s">
        <v>44</v>
      </c>
      <c r="C54" s="3" t="s">
        <v>29</v>
      </c>
      <c r="D54" s="3" t="s">
        <v>19</v>
      </c>
      <c r="E54" s="3" t="s">
        <v>18</v>
      </c>
      <c r="F54" s="3">
        <v>34</v>
      </c>
      <c r="G54" s="3">
        <v>6.97</v>
      </c>
      <c r="H54" s="3">
        <v>0.14000000000000001</v>
      </c>
      <c r="I54" s="3">
        <v>0.89</v>
      </c>
      <c r="J54" s="3">
        <v>4.63</v>
      </c>
      <c r="K54" s="3">
        <v>1</v>
      </c>
      <c r="L54" s="3">
        <v>27.46</v>
      </c>
      <c r="M54" s="4" t="str">
        <f t="shared" si="0"/>
        <v>Low</v>
      </c>
    </row>
    <row r="55" spans="1:13" ht="14.25" customHeight="1" x14ac:dyDescent="0.3">
      <c r="A55" s="3" t="s">
        <v>14</v>
      </c>
      <c r="B55" s="3" t="s">
        <v>44</v>
      </c>
      <c r="C55" s="3" t="s">
        <v>29</v>
      </c>
      <c r="D55" s="3" t="s">
        <v>21</v>
      </c>
      <c r="E55" s="3" t="s">
        <v>26</v>
      </c>
      <c r="F55" s="3">
        <v>41</v>
      </c>
      <c r="G55" s="3">
        <v>7.54</v>
      </c>
      <c r="H55" s="3">
        <v>7.0000000000000007E-2</v>
      </c>
      <c r="I55" s="3">
        <v>0.76</v>
      </c>
      <c r="J55" s="3">
        <v>4.0999999999999996</v>
      </c>
      <c r="K55" s="3">
        <v>0</v>
      </c>
      <c r="L55" s="3">
        <v>26.31</v>
      </c>
      <c r="M55" s="4" t="str">
        <f t="shared" si="0"/>
        <v>Low</v>
      </c>
    </row>
    <row r="56" spans="1:13" ht="14.25" customHeight="1" x14ac:dyDescent="0.3">
      <c r="A56" s="3" t="s">
        <v>14</v>
      </c>
      <c r="B56" s="3" t="s">
        <v>44</v>
      </c>
      <c r="C56" s="3" t="s">
        <v>32</v>
      </c>
      <c r="D56" s="3" t="s">
        <v>17</v>
      </c>
      <c r="E56" s="3" t="s">
        <v>26</v>
      </c>
      <c r="F56" s="3">
        <v>32</v>
      </c>
      <c r="G56" s="3">
        <v>6.5</v>
      </c>
      <c r="H56" s="3">
        <v>0.05</v>
      </c>
      <c r="I56" s="3">
        <v>0.79</v>
      </c>
      <c r="J56" s="3">
        <v>3.78</v>
      </c>
      <c r="K56" s="3">
        <v>0</v>
      </c>
      <c r="L56" s="3">
        <v>24.75</v>
      </c>
      <c r="M56" s="4" t="str">
        <f t="shared" si="0"/>
        <v>Low</v>
      </c>
    </row>
    <row r="57" spans="1:13" ht="14.25" customHeight="1" x14ac:dyDescent="0.3">
      <c r="A57" s="3" t="s">
        <v>14</v>
      </c>
      <c r="B57" s="3" t="s">
        <v>44</v>
      </c>
      <c r="C57" s="3" t="s">
        <v>32</v>
      </c>
      <c r="D57" s="3" t="s">
        <v>19</v>
      </c>
      <c r="E57" s="3" t="s">
        <v>22</v>
      </c>
      <c r="F57" s="3">
        <v>79</v>
      </c>
      <c r="G57" s="3">
        <v>7.06</v>
      </c>
      <c r="H57" s="3">
        <v>0.22</v>
      </c>
      <c r="I57" s="3">
        <v>0.76</v>
      </c>
      <c r="J57" s="3">
        <v>3.91</v>
      </c>
      <c r="K57" s="3">
        <v>2</v>
      </c>
      <c r="L57" s="3">
        <v>29.59</v>
      </c>
      <c r="M57" s="4" t="str">
        <f t="shared" si="0"/>
        <v>High</v>
      </c>
    </row>
    <row r="58" spans="1:13" ht="14.25" customHeight="1" x14ac:dyDescent="0.3">
      <c r="A58" s="3" t="s">
        <v>14</v>
      </c>
      <c r="B58" s="3" t="s">
        <v>44</v>
      </c>
      <c r="C58" s="3" t="s">
        <v>32</v>
      </c>
      <c r="D58" s="3" t="s">
        <v>21</v>
      </c>
      <c r="E58" s="3" t="s">
        <v>22</v>
      </c>
      <c r="F58" s="3">
        <v>63</v>
      </c>
      <c r="G58" s="3">
        <v>5.97</v>
      </c>
      <c r="H58" s="3">
        <v>0.22</v>
      </c>
      <c r="I58" s="3">
        <v>0.69</v>
      </c>
      <c r="J58" s="3">
        <v>4.72</v>
      </c>
      <c r="K58" s="3">
        <v>0</v>
      </c>
      <c r="L58" s="3">
        <v>23.96</v>
      </c>
      <c r="M58" s="4" t="str">
        <f t="shared" si="0"/>
        <v>Low</v>
      </c>
    </row>
    <row r="59" spans="1:13" ht="14.25" customHeight="1" x14ac:dyDescent="0.3">
      <c r="A59" s="3" t="s">
        <v>14</v>
      </c>
      <c r="B59" s="3" t="s">
        <v>44</v>
      </c>
      <c r="C59" s="3" t="s">
        <v>33</v>
      </c>
      <c r="D59" s="3" t="s">
        <v>17</v>
      </c>
      <c r="E59" s="3" t="s">
        <v>18</v>
      </c>
      <c r="F59" s="3">
        <v>65</v>
      </c>
      <c r="G59" s="3">
        <v>4.28</v>
      </c>
      <c r="H59" s="3">
        <v>0.04</v>
      </c>
      <c r="I59" s="3">
        <v>0.86</v>
      </c>
      <c r="J59" s="3">
        <v>4.55</v>
      </c>
      <c r="K59" s="3">
        <v>3</v>
      </c>
      <c r="L59" s="3">
        <v>27.42</v>
      </c>
      <c r="M59" s="4" t="str">
        <f t="shared" si="0"/>
        <v>Low</v>
      </c>
    </row>
    <row r="60" spans="1:13" ht="14.25" customHeight="1" x14ac:dyDescent="0.3">
      <c r="A60" s="3" t="s">
        <v>14</v>
      </c>
      <c r="B60" s="3" t="s">
        <v>44</v>
      </c>
      <c r="C60" s="3" t="s">
        <v>33</v>
      </c>
      <c r="D60" s="3" t="s">
        <v>19</v>
      </c>
      <c r="E60" s="3" t="s">
        <v>18</v>
      </c>
      <c r="F60" s="3">
        <v>47</v>
      </c>
      <c r="G60" s="3">
        <v>6.49</v>
      </c>
      <c r="H60" s="3">
        <v>0.13</v>
      </c>
      <c r="I60" s="3">
        <v>0.83</v>
      </c>
      <c r="J60" s="3">
        <v>3.81</v>
      </c>
      <c r="K60" s="3">
        <v>1</v>
      </c>
      <c r="L60" s="3">
        <v>26.74</v>
      </c>
      <c r="M60" s="4" t="str">
        <f t="shared" si="0"/>
        <v>Low</v>
      </c>
    </row>
    <row r="61" spans="1:13" ht="14.25" customHeight="1" x14ac:dyDescent="0.3">
      <c r="A61" s="3" t="s">
        <v>14</v>
      </c>
      <c r="B61" s="3" t="s">
        <v>44</v>
      </c>
      <c r="C61" s="3" t="s">
        <v>33</v>
      </c>
      <c r="D61" s="3" t="s">
        <v>21</v>
      </c>
      <c r="E61" s="3" t="s">
        <v>26</v>
      </c>
      <c r="F61" s="3">
        <v>64</v>
      </c>
      <c r="G61" s="3">
        <v>4.47</v>
      </c>
      <c r="H61" s="3">
        <v>0.03</v>
      </c>
      <c r="I61" s="3">
        <v>0.83</v>
      </c>
      <c r="J61" s="3">
        <v>4.16</v>
      </c>
      <c r="K61" s="3">
        <v>2</v>
      </c>
      <c r="L61" s="3">
        <v>25.7</v>
      </c>
      <c r="M61" s="4" t="str">
        <f t="shared" si="0"/>
        <v>Low</v>
      </c>
    </row>
    <row r="62" spans="1:13" ht="14.25" customHeight="1" x14ac:dyDescent="0.3">
      <c r="A62" s="3" t="s">
        <v>14</v>
      </c>
      <c r="B62" s="3" t="s">
        <v>45</v>
      </c>
      <c r="C62" s="3" t="s">
        <v>16</v>
      </c>
      <c r="D62" s="3" t="s">
        <v>17</v>
      </c>
      <c r="E62" s="3" t="s">
        <v>18</v>
      </c>
      <c r="F62" s="3">
        <v>48</v>
      </c>
      <c r="G62" s="3">
        <v>6.32</v>
      </c>
      <c r="H62" s="3">
        <v>0.14000000000000001</v>
      </c>
      <c r="I62" s="3">
        <v>0.84</v>
      </c>
      <c r="J62" s="3">
        <v>4.32</v>
      </c>
      <c r="K62" s="3">
        <v>0</v>
      </c>
      <c r="L62" s="3">
        <v>24.48</v>
      </c>
      <c r="M62" s="4" t="str">
        <f t="shared" si="0"/>
        <v>Low</v>
      </c>
    </row>
    <row r="63" spans="1:13" ht="14.25" customHeight="1" x14ac:dyDescent="0.3">
      <c r="A63" s="3" t="s">
        <v>14</v>
      </c>
      <c r="B63" s="3" t="s">
        <v>45</v>
      </c>
      <c r="C63" s="3" t="s">
        <v>16</v>
      </c>
      <c r="D63" s="3" t="s">
        <v>19</v>
      </c>
      <c r="E63" s="3" t="s">
        <v>22</v>
      </c>
      <c r="F63" s="3">
        <v>54</v>
      </c>
      <c r="G63" s="3">
        <v>5.87</v>
      </c>
      <c r="H63" s="3">
        <v>0.19</v>
      </c>
      <c r="I63" s="3">
        <v>0.78</v>
      </c>
      <c r="J63" s="3">
        <v>4.7300000000000004</v>
      </c>
      <c r="K63" s="3">
        <v>1</v>
      </c>
      <c r="L63" s="3">
        <v>25.8</v>
      </c>
      <c r="M63" s="4" t="str">
        <f t="shared" si="0"/>
        <v>Low</v>
      </c>
    </row>
    <row r="64" spans="1:13" ht="14.25" customHeight="1" x14ac:dyDescent="0.3">
      <c r="A64" s="3" t="s">
        <v>14</v>
      </c>
      <c r="B64" s="3" t="s">
        <v>45</v>
      </c>
      <c r="C64" s="3" t="s">
        <v>16</v>
      </c>
      <c r="D64" s="3" t="s">
        <v>21</v>
      </c>
      <c r="E64" s="3" t="s">
        <v>22</v>
      </c>
      <c r="F64" s="3">
        <v>71</v>
      </c>
      <c r="G64" s="3">
        <v>7.81</v>
      </c>
      <c r="H64" s="3">
        <v>0.28999999999999998</v>
      </c>
      <c r="I64" s="3">
        <v>0.77</v>
      </c>
      <c r="J64" s="3">
        <v>4.59</v>
      </c>
      <c r="K64" s="3">
        <v>2</v>
      </c>
      <c r="L64" s="3">
        <v>30.72</v>
      </c>
      <c r="M64" s="4" t="str">
        <f t="shared" si="0"/>
        <v>High</v>
      </c>
    </row>
    <row r="65" spans="1:13" ht="14.25" customHeight="1" x14ac:dyDescent="0.3">
      <c r="A65" s="3" t="s">
        <v>14</v>
      </c>
      <c r="B65" s="3" t="s">
        <v>45</v>
      </c>
      <c r="C65" s="3" t="s">
        <v>24</v>
      </c>
      <c r="D65" s="3" t="s">
        <v>17</v>
      </c>
      <c r="E65" s="3" t="s">
        <v>26</v>
      </c>
      <c r="F65" s="3">
        <v>75</v>
      </c>
      <c r="G65" s="3">
        <v>6.4</v>
      </c>
      <c r="H65" s="3">
        <v>0.11</v>
      </c>
      <c r="I65" s="3">
        <v>0.76</v>
      </c>
      <c r="J65" s="3">
        <v>4.57</v>
      </c>
      <c r="K65" s="3">
        <v>1</v>
      </c>
      <c r="L65" s="3">
        <v>26.6</v>
      </c>
      <c r="M65" s="4" t="str">
        <f t="shared" si="0"/>
        <v>Low</v>
      </c>
    </row>
    <row r="66" spans="1:13" ht="14.25" customHeight="1" x14ac:dyDescent="0.3">
      <c r="A66" s="3" t="s">
        <v>14</v>
      </c>
      <c r="B66" s="3" t="s">
        <v>45</v>
      </c>
      <c r="C66" s="3" t="s">
        <v>24</v>
      </c>
      <c r="D66" s="3" t="s">
        <v>19</v>
      </c>
      <c r="E66" s="3" t="s">
        <v>22</v>
      </c>
      <c r="F66" s="3">
        <v>66</v>
      </c>
      <c r="G66" s="3">
        <v>6.45</v>
      </c>
      <c r="H66" s="3">
        <v>0.27</v>
      </c>
      <c r="I66" s="3">
        <v>0.88</v>
      </c>
      <c r="J66" s="3">
        <v>3.81</v>
      </c>
      <c r="K66" s="3">
        <v>2</v>
      </c>
      <c r="L66" s="3">
        <v>28.68</v>
      </c>
      <c r="M66" s="4" t="str">
        <f t="shared" si="0"/>
        <v>High</v>
      </c>
    </row>
    <row r="67" spans="1:13" ht="14.25" customHeight="1" x14ac:dyDescent="0.3">
      <c r="A67" s="3" t="s">
        <v>14</v>
      </c>
      <c r="B67" s="3" t="s">
        <v>45</v>
      </c>
      <c r="C67" s="3" t="s">
        <v>24</v>
      </c>
      <c r="D67" s="3" t="s">
        <v>21</v>
      </c>
      <c r="E67" s="3" t="s">
        <v>18</v>
      </c>
      <c r="F67" s="3">
        <v>65</v>
      </c>
      <c r="G67" s="3">
        <v>4.54</v>
      </c>
      <c r="H67" s="3">
        <v>7.0000000000000007E-2</v>
      </c>
      <c r="I67" s="3">
        <v>0.62</v>
      </c>
      <c r="J67" s="3">
        <v>4.51</v>
      </c>
      <c r="K67" s="3">
        <v>0</v>
      </c>
      <c r="L67" s="3">
        <v>21.81</v>
      </c>
      <c r="M67" s="4" t="str">
        <f t="shared" si="0"/>
        <v>Low</v>
      </c>
    </row>
    <row r="68" spans="1:13" ht="14.25" customHeight="1" x14ac:dyDescent="0.3">
      <c r="A68" s="3" t="s">
        <v>14</v>
      </c>
      <c r="B68" s="3" t="s">
        <v>45</v>
      </c>
      <c r="C68" s="3" t="s">
        <v>29</v>
      </c>
      <c r="D68" s="3" t="s">
        <v>17</v>
      </c>
      <c r="E68" s="3" t="s">
        <v>18</v>
      </c>
      <c r="F68" s="3">
        <v>55</v>
      </c>
      <c r="G68" s="3">
        <v>5.28</v>
      </c>
      <c r="H68" s="3">
        <v>0.05</v>
      </c>
      <c r="I68" s="3">
        <v>0.81</v>
      </c>
      <c r="J68" s="3">
        <v>4.24</v>
      </c>
      <c r="K68" s="3">
        <v>1</v>
      </c>
      <c r="L68" s="3">
        <v>24.92</v>
      </c>
      <c r="M68" s="4" t="str">
        <f t="shared" si="0"/>
        <v>Low</v>
      </c>
    </row>
    <row r="69" spans="1:13" ht="14.25" customHeight="1" x14ac:dyDescent="0.3">
      <c r="A69" s="3" t="s">
        <v>14</v>
      </c>
      <c r="B69" s="3" t="s">
        <v>45</v>
      </c>
      <c r="C69" s="3" t="s">
        <v>29</v>
      </c>
      <c r="D69" s="3" t="s">
        <v>19</v>
      </c>
      <c r="E69" s="3" t="s">
        <v>26</v>
      </c>
      <c r="F69" s="3">
        <v>70</v>
      </c>
      <c r="G69" s="3">
        <v>4.12</v>
      </c>
      <c r="H69" s="3">
        <v>0.12</v>
      </c>
      <c r="I69" s="3">
        <v>0.85</v>
      </c>
      <c r="J69" s="3">
        <v>3.81</v>
      </c>
      <c r="K69" s="3">
        <v>0</v>
      </c>
      <c r="L69" s="3">
        <v>21.18</v>
      </c>
      <c r="M69" s="4" t="str">
        <f t="shared" si="0"/>
        <v>Low</v>
      </c>
    </row>
    <row r="70" spans="1:13" ht="14.25" customHeight="1" x14ac:dyDescent="0.3">
      <c r="A70" s="3" t="s">
        <v>14</v>
      </c>
      <c r="B70" s="3" t="s">
        <v>45</v>
      </c>
      <c r="C70" s="3" t="s">
        <v>29</v>
      </c>
      <c r="D70" s="3" t="s">
        <v>21</v>
      </c>
      <c r="E70" s="3" t="s">
        <v>18</v>
      </c>
      <c r="F70" s="3">
        <v>54</v>
      </c>
      <c r="G70" s="3">
        <v>5.66</v>
      </c>
      <c r="H70" s="3">
        <v>0.15</v>
      </c>
      <c r="I70" s="3">
        <v>0.6</v>
      </c>
      <c r="J70" s="3">
        <v>4.76</v>
      </c>
      <c r="K70" s="3">
        <v>0</v>
      </c>
      <c r="L70" s="3">
        <v>23.49</v>
      </c>
      <c r="M70" s="4" t="str">
        <f t="shared" si="0"/>
        <v>Low</v>
      </c>
    </row>
    <row r="71" spans="1:13" ht="14.25" customHeight="1" x14ac:dyDescent="0.3">
      <c r="A71" s="3" t="s">
        <v>14</v>
      </c>
      <c r="B71" s="3" t="s">
        <v>45</v>
      </c>
      <c r="C71" s="3" t="s">
        <v>32</v>
      </c>
      <c r="D71" s="3" t="s">
        <v>17</v>
      </c>
      <c r="E71" s="3" t="s">
        <v>26</v>
      </c>
      <c r="F71" s="3">
        <v>50</v>
      </c>
      <c r="G71" s="3">
        <v>6.46</v>
      </c>
      <c r="H71" s="3">
        <v>0.15</v>
      </c>
      <c r="I71" s="3">
        <v>0.76</v>
      </c>
      <c r="J71" s="3">
        <v>4.22</v>
      </c>
      <c r="K71" s="3">
        <v>3</v>
      </c>
      <c r="L71" s="3">
        <v>30.69</v>
      </c>
      <c r="M71" s="4" t="str">
        <f t="shared" si="0"/>
        <v>High</v>
      </c>
    </row>
    <row r="72" spans="1:13" ht="14.25" customHeight="1" x14ac:dyDescent="0.3">
      <c r="A72" s="3" t="s">
        <v>14</v>
      </c>
      <c r="B72" s="3" t="s">
        <v>45</v>
      </c>
      <c r="C72" s="3" t="s">
        <v>32</v>
      </c>
      <c r="D72" s="3" t="s">
        <v>19</v>
      </c>
      <c r="E72" s="3" t="s">
        <v>18</v>
      </c>
      <c r="F72" s="3">
        <v>70</v>
      </c>
      <c r="G72" s="3">
        <v>5.3</v>
      </c>
      <c r="H72" s="3">
        <v>0.15</v>
      </c>
      <c r="I72" s="3">
        <v>0.85</v>
      </c>
      <c r="J72" s="3">
        <v>4</v>
      </c>
      <c r="K72" s="3">
        <v>1</v>
      </c>
      <c r="L72" s="3">
        <v>24.95</v>
      </c>
      <c r="M72" s="4" t="str">
        <f t="shared" si="0"/>
        <v>Low</v>
      </c>
    </row>
    <row r="73" spans="1:13" ht="14.25" customHeight="1" x14ac:dyDescent="0.3">
      <c r="A73" s="3" t="s">
        <v>14</v>
      </c>
      <c r="B73" s="3" t="s">
        <v>45</v>
      </c>
      <c r="C73" s="3" t="s">
        <v>32</v>
      </c>
      <c r="D73" s="3" t="s">
        <v>21</v>
      </c>
      <c r="E73" s="3" t="s">
        <v>26</v>
      </c>
      <c r="F73" s="3">
        <v>39</v>
      </c>
      <c r="G73" s="3">
        <v>5.03</v>
      </c>
      <c r="H73" s="3">
        <v>0.14000000000000001</v>
      </c>
      <c r="I73" s="3">
        <v>0.82</v>
      </c>
      <c r="J73" s="3">
        <v>4.09</v>
      </c>
      <c r="K73" s="3">
        <v>1</v>
      </c>
      <c r="L73" s="3">
        <v>24.54</v>
      </c>
      <c r="M73" s="4" t="str">
        <f t="shared" si="0"/>
        <v>Low</v>
      </c>
    </row>
    <row r="74" spans="1:13" ht="14.25" customHeight="1" x14ac:dyDescent="0.3">
      <c r="A74" s="3" t="s">
        <v>14</v>
      </c>
      <c r="B74" s="3" t="s">
        <v>45</v>
      </c>
      <c r="C74" s="3" t="s">
        <v>33</v>
      </c>
      <c r="D74" s="3" t="s">
        <v>17</v>
      </c>
      <c r="E74" s="3" t="s">
        <v>22</v>
      </c>
      <c r="F74" s="3">
        <v>57</v>
      </c>
      <c r="G74" s="3">
        <v>4.79</v>
      </c>
      <c r="H74" s="3">
        <v>0.11</v>
      </c>
      <c r="I74" s="3">
        <v>0.79</v>
      </c>
      <c r="J74" s="3">
        <v>3.97</v>
      </c>
      <c r="K74" s="3">
        <v>0</v>
      </c>
      <c r="L74" s="3">
        <v>22.18</v>
      </c>
      <c r="M74" s="4" t="str">
        <f t="shared" si="0"/>
        <v>Low</v>
      </c>
    </row>
    <row r="75" spans="1:13" ht="14.25" customHeight="1" x14ac:dyDescent="0.3">
      <c r="A75" s="3" t="s">
        <v>14</v>
      </c>
      <c r="B75" s="3" t="s">
        <v>45</v>
      </c>
      <c r="C75" s="3" t="s">
        <v>33</v>
      </c>
      <c r="D75" s="3" t="s">
        <v>19</v>
      </c>
      <c r="E75" s="3" t="s">
        <v>18</v>
      </c>
      <c r="F75" s="3">
        <v>46</v>
      </c>
      <c r="G75" s="3">
        <v>7.59</v>
      </c>
      <c r="H75" s="3">
        <v>0.06</v>
      </c>
      <c r="I75" s="3">
        <v>0.81</v>
      </c>
      <c r="J75" s="3">
        <v>4.28</v>
      </c>
      <c r="K75" s="3">
        <v>0</v>
      </c>
      <c r="L75" s="3">
        <v>26.38</v>
      </c>
      <c r="M75" s="4" t="str">
        <f t="shared" si="0"/>
        <v>Low</v>
      </c>
    </row>
    <row r="76" spans="1:13" ht="14.25" customHeight="1" x14ac:dyDescent="0.3">
      <c r="A76" s="3" t="s">
        <v>14</v>
      </c>
      <c r="B76" s="3" t="s">
        <v>45</v>
      </c>
      <c r="C76" s="3" t="s">
        <v>33</v>
      </c>
      <c r="D76" s="3" t="s">
        <v>21</v>
      </c>
      <c r="E76" s="3" t="s">
        <v>22</v>
      </c>
      <c r="F76" s="3">
        <v>64</v>
      </c>
      <c r="G76" s="3">
        <v>6.74</v>
      </c>
      <c r="H76" s="3">
        <v>0.15</v>
      </c>
      <c r="I76" s="3">
        <v>0.83</v>
      </c>
      <c r="J76" s="3">
        <v>4.63</v>
      </c>
      <c r="K76" s="3">
        <v>0</v>
      </c>
      <c r="L76" s="3">
        <v>25.11</v>
      </c>
      <c r="M76" s="4" t="str">
        <f t="shared" si="0"/>
        <v>Low</v>
      </c>
    </row>
    <row r="77" spans="1:13" ht="14.25" customHeight="1" x14ac:dyDescent="0.3">
      <c r="A77" s="3" t="s">
        <v>14</v>
      </c>
      <c r="B77" s="3" t="s">
        <v>46</v>
      </c>
      <c r="C77" s="3" t="s">
        <v>16</v>
      </c>
      <c r="D77" s="3" t="s">
        <v>17</v>
      </c>
      <c r="E77" s="3" t="s">
        <v>22</v>
      </c>
      <c r="F77" s="3">
        <v>62</v>
      </c>
      <c r="G77" s="3">
        <v>7.48</v>
      </c>
      <c r="H77" s="3">
        <v>0.24</v>
      </c>
      <c r="I77" s="3">
        <v>0.82</v>
      </c>
      <c r="J77" s="3">
        <v>4.78</v>
      </c>
      <c r="K77" s="3">
        <v>0</v>
      </c>
      <c r="L77" s="3">
        <v>26.22</v>
      </c>
      <c r="M77" s="4" t="str">
        <f t="shared" si="0"/>
        <v>Low</v>
      </c>
    </row>
    <row r="78" spans="1:13" ht="14.25" customHeight="1" x14ac:dyDescent="0.3">
      <c r="A78" s="3" t="s">
        <v>14</v>
      </c>
      <c r="B78" s="3" t="s">
        <v>46</v>
      </c>
      <c r="C78" s="3" t="s">
        <v>16</v>
      </c>
      <c r="D78" s="3" t="s">
        <v>19</v>
      </c>
      <c r="E78" s="3" t="s">
        <v>26</v>
      </c>
      <c r="F78" s="3">
        <v>54</v>
      </c>
      <c r="G78" s="3">
        <v>5.89</v>
      </c>
      <c r="H78" s="3">
        <v>7.0000000000000007E-2</v>
      </c>
      <c r="I78" s="3">
        <v>0.79</v>
      </c>
      <c r="J78" s="3">
        <v>3.57</v>
      </c>
      <c r="K78" s="3">
        <v>2</v>
      </c>
      <c r="L78" s="3">
        <v>27.84</v>
      </c>
      <c r="M78" s="4" t="str">
        <f t="shared" si="0"/>
        <v>High</v>
      </c>
    </row>
    <row r="79" spans="1:13" ht="14.25" customHeight="1" x14ac:dyDescent="0.3">
      <c r="A79" s="3" t="s">
        <v>14</v>
      </c>
      <c r="B79" s="3" t="s">
        <v>46</v>
      </c>
      <c r="C79" s="3" t="s">
        <v>16</v>
      </c>
      <c r="D79" s="3" t="s">
        <v>21</v>
      </c>
      <c r="E79" s="3" t="s">
        <v>26</v>
      </c>
      <c r="F79" s="3">
        <v>60</v>
      </c>
      <c r="G79" s="3">
        <v>7.24</v>
      </c>
      <c r="H79" s="3">
        <v>0.12</v>
      </c>
      <c r="I79" s="3">
        <v>0.83</v>
      </c>
      <c r="J79" s="3">
        <v>4.26</v>
      </c>
      <c r="K79" s="3">
        <v>1</v>
      </c>
      <c r="L79" s="3">
        <v>27.86</v>
      </c>
      <c r="M79" s="4" t="str">
        <f t="shared" si="0"/>
        <v>High</v>
      </c>
    </row>
    <row r="80" spans="1:13" ht="14.25" customHeight="1" x14ac:dyDescent="0.3">
      <c r="A80" s="3" t="s">
        <v>14</v>
      </c>
      <c r="B80" s="3" t="s">
        <v>46</v>
      </c>
      <c r="C80" s="3" t="s">
        <v>24</v>
      </c>
      <c r="D80" s="3" t="s">
        <v>17</v>
      </c>
      <c r="E80" s="3" t="s">
        <v>26</v>
      </c>
      <c r="F80" s="3">
        <v>48</v>
      </c>
      <c r="G80" s="3">
        <v>5.69</v>
      </c>
      <c r="H80" s="3">
        <v>0.04</v>
      </c>
      <c r="I80" s="3">
        <v>0.89</v>
      </c>
      <c r="J80" s="3">
        <v>4.29</v>
      </c>
      <c r="K80" s="3">
        <v>0</v>
      </c>
      <c r="L80" s="3">
        <v>23.54</v>
      </c>
      <c r="M80" s="4" t="str">
        <f t="shared" si="0"/>
        <v>Low</v>
      </c>
    </row>
    <row r="81" spans="1:13" ht="14.25" customHeight="1" x14ac:dyDescent="0.3">
      <c r="A81" s="3" t="s">
        <v>14</v>
      </c>
      <c r="B81" s="3" t="s">
        <v>46</v>
      </c>
      <c r="C81" s="3" t="s">
        <v>24</v>
      </c>
      <c r="D81" s="3" t="s">
        <v>19</v>
      </c>
      <c r="E81" s="3" t="s">
        <v>18</v>
      </c>
      <c r="F81" s="3">
        <v>61</v>
      </c>
      <c r="G81" s="3">
        <v>4.4000000000000004</v>
      </c>
      <c r="H81" s="3">
        <v>0.03</v>
      </c>
      <c r="I81" s="3">
        <v>0.79</v>
      </c>
      <c r="J81" s="3">
        <v>3.53</v>
      </c>
      <c r="K81" s="3">
        <v>0</v>
      </c>
      <c r="L81" s="3">
        <v>21.6</v>
      </c>
      <c r="M81" s="4" t="str">
        <f t="shared" si="0"/>
        <v>Low</v>
      </c>
    </row>
    <row r="82" spans="1:13" ht="14.25" customHeight="1" x14ac:dyDescent="0.3">
      <c r="A82" s="3" t="s">
        <v>14</v>
      </c>
      <c r="B82" s="3" t="s">
        <v>46</v>
      </c>
      <c r="C82" s="3" t="s">
        <v>24</v>
      </c>
      <c r="D82" s="3" t="s">
        <v>21</v>
      </c>
      <c r="E82" s="3" t="s">
        <v>18</v>
      </c>
      <c r="F82" s="3">
        <v>32</v>
      </c>
      <c r="G82" s="3">
        <v>7.18</v>
      </c>
      <c r="H82" s="3">
        <v>0.09</v>
      </c>
      <c r="I82" s="3">
        <v>0.74</v>
      </c>
      <c r="J82" s="3">
        <v>4.6399999999999997</v>
      </c>
      <c r="K82" s="3">
        <v>0</v>
      </c>
      <c r="L82" s="3">
        <v>25.77</v>
      </c>
      <c r="M82" s="4" t="str">
        <f t="shared" si="0"/>
        <v>Low</v>
      </c>
    </row>
    <row r="83" spans="1:13" ht="14.25" customHeight="1" x14ac:dyDescent="0.3">
      <c r="A83" s="3" t="s">
        <v>14</v>
      </c>
      <c r="B83" s="3" t="s">
        <v>46</v>
      </c>
      <c r="C83" s="3" t="s">
        <v>29</v>
      </c>
      <c r="D83" s="3" t="s">
        <v>17</v>
      </c>
      <c r="E83" s="3" t="s">
        <v>22</v>
      </c>
      <c r="F83" s="3">
        <v>76</v>
      </c>
      <c r="G83" s="3">
        <v>6.07</v>
      </c>
      <c r="H83" s="3">
        <v>0.16</v>
      </c>
      <c r="I83" s="3">
        <v>0.87</v>
      </c>
      <c r="J83" s="3">
        <v>4.33</v>
      </c>
      <c r="K83" s="3">
        <v>2</v>
      </c>
      <c r="L83" s="3">
        <v>28.1</v>
      </c>
      <c r="M83" s="4" t="str">
        <f t="shared" si="0"/>
        <v>High</v>
      </c>
    </row>
    <row r="84" spans="1:13" ht="14.25" customHeight="1" x14ac:dyDescent="0.3">
      <c r="A84" s="3" t="s">
        <v>14</v>
      </c>
      <c r="B84" s="3" t="s">
        <v>46</v>
      </c>
      <c r="C84" s="3" t="s">
        <v>29</v>
      </c>
      <c r="D84" s="3" t="s">
        <v>19</v>
      </c>
      <c r="E84" s="3" t="s">
        <v>26</v>
      </c>
      <c r="F84" s="3">
        <v>63</v>
      </c>
      <c r="G84" s="3">
        <v>7.06</v>
      </c>
      <c r="H84" s="3">
        <v>7.0000000000000007E-2</v>
      </c>
      <c r="I84" s="3">
        <v>0.82</v>
      </c>
      <c r="J84" s="3">
        <v>4.68</v>
      </c>
      <c r="K84" s="3">
        <v>0</v>
      </c>
      <c r="L84" s="3">
        <v>25.59</v>
      </c>
      <c r="M84" s="4" t="str">
        <f t="shared" si="0"/>
        <v>Low</v>
      </c>
    </row>
    <row r="85" spans="1:13" ht="14.25" customHeight="1" x14ac:dyDescent="0.3">
      <c r="A85" s="3" t="s">
        <v>14</v>
      </c>
      <c r="B85" s="3" t="s">
        <v>46</v>
      </c>
      <c r="C85" s="3" t="s">
        <v>29</v>
      </c>
      <c r="D85" s="3" t="s">
        <v>21</v>
      </c>
      <c r="E85" s="3" t="s">
        <v>18</v>
      </c>
      <c r="F85" s="3">
        <v>53</v>
      </c>
      <c r="G85" s="3">
        <v>4.24</v>
      </c>
      <c r="H85" s="3">
        <v>0.14000000000000001</v>
      </c>
      <c r="I85" s="3">
        <v>0.67</v>
      </c>
      <c r="J85" s="3">
        <v>4.18</v>
      </c>
      <c r="K85" s="3">
        <v>1</v>
      </c>
      <c r="L85" s="3">
        <v>23.36</v>
      </c>
      <c r="M85" s="4" t="str">
        <f t="shared" si="0"/>
        <v>Low</v>
      </c>
    </row>
    <row r="86" spans="1:13" ht="14.25" customHeight="1" x14ac:dyDescent="0.3">
      <c r="A86" s="3" t="s">
        <v>14</v>
      </c>
      <c r="B86" s="3" t="s">
        <v>46</v>
      </c>
      <c r="C86" s="3" t="s">
        <v>32</v>
      </c>
      <c r="D86" s="3" t="s">
        <v>17</v>
      </c>
      <c r="E86" s="3" t="s">
        <v>26</v>
      </c>
      <c r="F86" s="3">
        <v>39</v>
      </c>
      <c r="G86" s="3">
        <v>5.99</v>
      </c>
      <c r="H86" s="3">
        <v>0.05</v>
      </c>
      <c r="I86" s="3">
        <v>0.82</v>
      </c>
      <c r="J86" s="3">
        <v>4.7699999999999996</v>
      </c>
      <c r="K86" s="3">
        <v>0</v>
      </c>
      <c r="L86" s="3">
        <v>23.98</v>
      </c>
      <c r="M86" s="4" t="str">
        <f t="shared" si="0"/>
        <v>Low</v>
      </c>
    </row>
    <row r="87" spans="1:13" ht="14.25" customHeight="1" x14ac:dyDescent="0.3">
      <c r="A87" s="3" t="s">
        <v>14</v>
      </c>
      <c r="B87" s="3" t="s">
        <v>46</v>
      </c>
      <c r="C87" s="3" t="s">
        <v>32</v>
      </c>
      <c r="D87" s="3" t="s">
        <v>19</v>
      </c>
      <c r="E87" s="3" t="s">
        <v>18</v>
      </c>
      <c r="F87" s="3">
        <v>72</v>
      </c>
      <c r="G87" s="3">
        <v>6.8</v>
      </c>
      <c r="H87" s="3">
        <v>0.1</v>
      </c>
      <c r="I87" s="3">
        <v>0.8</v>
      </c>
      <c r="J87" s="3">
        <v>4.2</v>
      </c>
      <c r="K87" s="3">
        <v>0</v>
      </c>
      <c r="L87" s="3">
        <v>25.2</v>
      </c>
      <c r="M87" s="4" t="str">
        <f t="shared" si="0"/>
        <v>Low</v>
      </c>
    </row>
    <row r="88" spans="1:13" ht="14.25" customHeight="1" x14ac:dyDescent="0.3">
      <c r="A88" s="3" t="s">
        <v>14</v>
      </c>
      <c r="B88" s="3" t="s">
        <v>46</v>
      </c>
      <c r="C88" s="3" t="s">
        <v>32</v>
      </c>
      <c r="D88" s="3" t="s">
        <v>21</v>
      </c>
      <c r="E88" s="3" t="s">
        <v>18</v>
      </c>
      <c r="F88" s="3">
        <v>40</v>
      </c>
      <c r="G88" s="3">
        <v>6.37</v>
      </c>
      <c r="H88" s="3">
        <v>0.04</v>
      </c>
      <c r="I88" s="3">
        <v>0.69</v>
      </c>
      <c r="J88" s="3">
        <v>4.67</v>
      </c>
      <c r="K88" s="3">
        <v>0</v>
      </c>
      <c r="L88" s="3">
        <v>24.56</v>
      </c>
      <c r="M88" s="4" t="str">
        <f t="shared" si="0"/>
        <v>Low</v>
      </c>
    </row>
    <row r="89" spans="1:13" ht="14.25" customHeight="1" x14ac:dyDescent="0.3">
      <c r="A89" s="3" t="s">
        <v>14</v>
      </c>
      <c r="B89" s="3" t="s">
        <v>46</v>
      </c>
      <c r="C89" s="3" t="s">
        <v>33</v>
      </c>
      <c r="D89" s="3" t="s">
        <v>17</v>
      </c>
      <c r="E89" s="3" t="s">
        <v>18</v>
      </c>
      <c r="F89" s="3">
        <v>79</v>
      </c>
      <c r="G89" s="3">
        <v>5.0599999999999996</v>
      </c>
      <c r="H89" s="3">
        <v>0.1</v>
      </c>
      <c r="I89" s="3">
        <v>0.78</v>
      </c>
      <c r="J89" s="3">
        <v>4.57</v>
      </c>
      <c r="K89" s="3">
        <v>0</v>
      </c>
      <c r="L89" s="3">
        <v>22.59</v>
      </c>
      <c r="M89" s="4" t="str">
        <f t="shared" si="0"/>
        <v>Low</v>
      </c>
    </row>
    <row r="90" spans="1:13" ht="14.25" customHeight="1" x14ac:dyDescent="0.3">
      <c r="A90" s="3" t="s">
        <v>14</v>
      </c>
      <c r="B90" s="3" t="s">
        <v>46</v>
      </c>
      <c r="C90" s="3" t="s">
        <v>33</v>
      </c>
      <c r="D90" s="3" t="s">
        <v>19</v>
      </c>
      <c r="E90" s="3" t="s">
        <v>18</v>
      </c>
      <c r="F90" s="3">
        <v>51</v>
      </c>
      <c r="G90" s="3">
        <v>4.57</v>
      </c>
      <c r="H90" s="3">
        <v>7.0000000000000007E-2</v>
      </c>
      <c r="I90" s="3">
        <v>0.83</v>
      </c>
      <c r="J90" s="3">
        <v>4.4000000000000004</v>
      </c>
      <c r="K90" s="3">
        <v>0</v>
      </c>
      <c r="L90" s="3">
        <v>21.86</v>
      </c>
      <c r="M90" s="4" t="str">
        <f t="shared" si="0"/>
        <v>Low</v>
      </c>
    </row>
    <row r="91" spans="1:13" ht="14.25" customHeight="1" x14ac:dyDescent="0.3">
      <c r="A91" s="3" t="s">
        <v>14</v>
      </c>
      <c r="B91" s="3" t="s">
        <v>46</v>
      </c>
      <c r="C91" s="3" t="s">
        <v>33</v>
      </c>
      <c r="D91" s="3" t="s">
        <v>21</v>
      </c>
      <c r="E91" s="3" t="s">
        <v>26</v>
      </c>
      <c r="F91" s="3">
        <v>51</v>
      </c>
      <c r="G91" s="3">
        <v>5.81</v>
      </c>
      <c r="H91" s="3">
        <v>0.03</v>
      </c>
      <c r="I91" s="3">
        <v>0.82</v>
      </c>
      <c r="J91" s="3">
        <v>4.7</v>
      </c>
      <c r="K91" s="3">
        <v>0</v>
      </c>
      <c r="L91" s="3">
        <v>23.72</v>
      </c>
      <c r="M91" s="4" t="str">
        <f t="shared" si="0"/>
        <v>Low</v>
      </c>
    </row>
    <row r="92" spans="1:13" ht="14.25" customHeight="1" x14ac:dyDescent="0.3">
      <c r="A92" s="3" t="s">
        <v>14</v>
      </c>
      <c r="B92" s="3" t="s">
        <v>47</v>
      </c>
      <c r="C92" s="3" t="s">
        <v>16</v>
      </c>
      <c r="D92" s="3" t="s">
        <v>17</v>
      </c>
      <c r="E92" s="3" t="s">
        <v>22</v>
      </c>
      <c r="F92" s="3">
        <v>30</v>
      </c>
      <c r="G92" s="3">
        <v>6.18</v>
      </c>
      <c r="H92" s="3">
        <v>0.3</v>
      </c>
      <c r="I92" s="3">
        <v>0.83</v>
      </c>
      <c r="J92" s="3">
        <v>4.7</v>
      </c>
      <c r="K92" s="3">
        <v>0</v>
      </c>
      <c r="L92" s="3">
        <v>24.27</v>
      </c>
      <c r="M92" s="4" t="str">
        <f t="shared" si="0"/>
        <v>Low</v>
      </c>
    </row>
    <row r="93" spans="1:13" ht="14.25" customHeight="1" x14ac:dyDescent="0.3">
      <c r="A93" s="3" t="s">
        <v>14</v>
      </c>
      <c r="B93" s="3" t="s">
        <v>47</v>
      </c>
      <c r="C93" s="3" t="s">
        <v>16</v>
      </c>
      <c r="D93" s="3" t="s">
        <v>19</v>
      </c>
      <c r="E93" s="3" t="s">
        <v>26</v>
      </c>
      <c r="F93" s="3">
        <v>43</v>
      </c>
      <c r="G93" s="3">
        <v>5.22</v>
      </c>
      <c r="H93" s="3">
        <v>0.08</v>
      </c>
      <c r="I93" s="3">
        <v>0.86</v>
      </c>
      <c r="J93" s="3">
        <v>3.55</v>
      </c>
      <c r="K93" s="3">
        <v>0</v>
      </c>
      <c r="L93" s="3">
        <v>22.83</v>
      </c>
      <c r="M93" s="4" t="str">
        <f t="shared" si="0"/>
        <v>Low</v>
      </c>
    </row>
    <row r="94" spans="1:13" ht="14.25" customHeight="1" x14ac:dyDescent="0.3">
      <c r="A94" s="3" t="s">
        <v>14</v>
      </c>
      <c r="B94" s="3" t="s">
        <v>47</v>
      </c>
      <c r="C94" s="3" t="s">
        <v>16</v>
      </c>
      <c r="D94" s="3" t="s">
        <v>21</v>
      </c>
      <c r="E94" s="3" t="s">
        <v>26</v>
      </c>
      <c r="F94" s="3">
        <v>76</v>
      </c>
      <c r="G94" s="3">
        <v>6.47</v>
      </c>
      <c r="H94" s="3">
        <v>0.02</v>
      </c>
      <c r="I94" s="3">
        <v>0.82</v>
      </c>
      <c r="J94" s="3">
        <v>3.96</v>
      </c>
      <c r="K94" s="3">
        <v>0</v>
      </c>
      <c r="L94" s="3">
        <v>24.7</v>
      </c>
      <c r="M94" s="4" t="str">
        <f t="shared" si="0"/>
        <v>Low</v>
      </c>
    </row>
    <row r="95" spans="1:13" ht="14.25" customHeight="1" x14ac:dyDescent="0.3">
      <c r="A95" s="3" t="s">
        <v>14</v>
      </c>
      <c r="B95" s="3" t="s">
        <v>47</v>
      </c>
      <c r="C95" s="3" t="s">
        <v>24</v>
      </c>
      <c r="D95" s="3" t="s">
        <v>17</v>
      </c>
      <c r="E95" s="3" t="s">
        <v>22</v>
      </c>
      <c r="F95" s="3">
        <v>66</v>
      </c>
      <c r="G95" s="3">
        <v>6.65</v>
      </c>
      <c r="H95" s="3">
        <v>0.1</v>
      </c>
      <c r="I95" s="3">
        <v>0.83</v>
      </c>
      <c r="J95" s="3">
        <v>4.59</v>
      </c>
      <c r="K95" s="3">
        <v>0</v>
      </c>
      <c r="L95" s="3">
        <v>24.98</v>
      </c>
      <c r="M95" s="4" t="str">
        <f t="shared" si="0"/>
        <v>Low</v>
      </c>
    </row>
    <row r="96" spans="1:13" ht="14.25" customHeight="1" x14ac:dyDescent="0.3">
      <c r="A96" s="3" t="s">
        <v>14</v>
      </c>
      <c r="B96" s="3" t="s">
        <v>47</v>
      </c>
      <c r="C96" s="3" t="s">
        <v>24</v>
      </c>
      <c r="D96" s="3" t="s">
        <v>19</v>
      </c>
      <c r="E96" s="3" t="s">
        <v>18</v>
      </c>
      <c r="F96" s="3">
        <v>54</v>
      </c>
      <c r="G96" s="3">
        <v>6.22</v>
      </c>
      <c r="H96" s="3">
        <v>0.11</v>
      </c>
      <c r="I96" s="3">
        <v>0.87</v>
      </c>
      <c r="J96" s="3">
        <v>4.1500000000000004</v>
      </c>
      <c r="K96" s="3">
        <v>0</v>
      </c>
      <c r="L96" s="3">
        <v>24.33</v>
      </c>
      <c r="M96" s="4" t="str">
        <f t="shared" si="0"/>
        <v>Low</v>
      </c>
    </row>
    <row r="97" spans="1:13" ht="14.25" customHeight="1" x14ac:dyDescent="0.3">
      <c r="A97" s="3" t="s">
        <v>14</v>
      </c>
      <c r="B97" s="3" t="s">
        <v>47</v>
      </c>
      <c r="C97" s="3" t="s">
        <v>24</v>
      </c>
      <c r="D97" s="3" t="s">
        <v>21</v>
      </c>
      <c r="E97" s="3" t="s">
        <v>18</v>
      </c>
      <c r="F97" s="3">
        <v>63</v>
      </c>
      <c r="G97" s="3">
        <v>6.91</v>
      </c>
      <c r="H97" s="3">
        <v>0.09</v>
      </c>
      <c r="I97" s="3">
        <v>0.75</v>
      </c>
      <c r="J97" s="3">
        <v>4.2300000000000004</v>
      </c>
      <c r="K97" s="3">
        <v>0</v>
      </c>
      <c r="L97" s="3">
        <v>25.36</v>
      </c>
      <c r="M97" s="4" t="str">
        <f t="shared" si="0"/>
        <v>Low</v>
      </c>
    </row>
    <row r="98" spans="1:13" ht="14.25" customHeight="1" x14ac:dyDescent="0.3">
      <c r="A98" s="3" t="s">
        <v>14</v>
      </c>
      <c r="B98" s="3" t="s">
        <v>47</v>
      </c>
      <c r="C98" s="3" t="s">
        <v>29</v>
      </c>
      <c r="D98" s="3" t="s">
        <v>17</v>
      </c>
      <c r="E98" s="3" t="s">
        <v>18</v>
      </c>
      <c r="F98" s="3">
        <v>55</v>
      </c>
      <c r="G98" s="3">
        <v>4.58</v>
      </c>
      <c r="H98" s="3">
        <v>0.08</v>
      </c>
      <c r="I98" s="3">
        <v>0.8</v>
      </c>
      <c r="J98" s="3">
        <v>4.71</v>
      </c>
      <c r="K98" s="3">
        <v>0</v>
      </c>
      <c r="L98" s="3">
        <v>21.87</v>
      </c>
      <c r="M98" s="4" t="str">
        <f t="shared" si="0"/>
        <v>Low</v>
      </c>
    </row>
    <row r="99" spans="1:13" ht="14.25" customHeight="1" x14ac:dyDescent="0.3">
      <c r="A99" s="3" t="s">
        <v>14</v>
      </c>
      <c r="B99" s="3" t="s">
        <v>47</v>
      </c>
      <c r="C99" s="3" t="s">
        <v>29</v>
      </c>
      <c r="D99" s="3" t="s">
        <v>19</v>
      </c>
      <c r="E99" s="3" t="s">
        <v>22</v>
      </c>
      <c r="F99" s="3">
        <v>35</v>
      </c>
      <c r="G99" s="3">
        <v>6.6</v>
      </c>
      <c r="H99" s="3">
        <v>0.11</v>
      </c>
      <c r="I99" s="3">
        <v>0.77</v>
      </c>
      <c r="J99" s="3">
        <v>3.74</v>
      </c>
      <c r="K99" s="3">
        <v>0</v>
      </c>
      <c r="L99" s="3">
        <v>24.9</v>
      </c>
      <c r="M99" s="4" t="str">
        <f t="shared" si="0"/>
        <v>Low</v>
      </c>
    </row>
    <row r="100" spans="1:13" ht="14.25" customHeight="1" x14ac:dyDescent="0.3">
      <c r="A100" s="3" t="s">
        <v>14</v>
      </c>
      <c r="B100" s="3" t="s">
        <v>47</v>
      </c>
      <c r="C100" s="3" t="s">
        <v>29</v>
      </c>
      <c r="D100" s="3" t="s">
        <v>21</v>
      </c>
      <c r="E100" s="3" t="s">
        <v>22</v>
      </c>
      <c r="F100" s="3">
        <v>38</v>
      </c>
      <c r="G100" s="3">
        <v>6.05</v>
      </c>
      <c r="H100" s="3">
        <v>0.15</v>
      </c>
      <c r="I100" s="3">
        <v>0.85</v>
      </c>
      <c r="J100" s="3">
        <v>3.65</v>
      </c>
      <c r="K100" s="3">
        <v>0</v>
      </c>
      <c r="L100" s="3">
        <v>24.08</v>
      </c>
      <c r="M100" s="4" t="str">
        <f t="shared" si="0"/>
        <v>Low</v>
      </c>
    </row>
    <row r="101" spans="1:13" ht="14.25" customHeight="1" x14ac:dyDescent="0.3">
      <c r="A101" s="3" t="s">
        <v>14</v>
      </c>
      <c r="B101" s="3" t="s">
        <v>47</v>
      </c>
      <c r="C101" s="3" t="s">
        <v>32</v>
      </c>
      <c r="D101" s="3" t="s">
        <v>17</v>
      </c>
      <c r="E101" s="3" t="s">
        <v>26</v>
      </c>
      <c r="F101" s="3">
        <v>33</v>
      </c>
      <c r="G101" s="3">
        <v>5.17</v>
      </c>
      <c r="H101" s="3">
        <v>0.02</v>
      </c>
      <c r="I101" s="3">
        <v>0.9</v>
      </c>
      <c r="J101" s="3">
        <v>4.1399999999999997</v>
      </c>
      <c r="K101" s="3">
        <v>1</v>
      </c>
      <c r="L101" s="3">
        <v>24.76</v>
      </c>
      <c r="M101" s="4" t="str">
        <f t="shared" si="0"/>
        <v>Low</v>
      </c>
    </row>
    <row r="102" spans="1:13" ht="14.25" customHeight="1" x14ac:dyDescent="0.3">
      <c r="A102" s="3" t="s">
        <v>14</v>
      </c>
      <c r="B102" s="3" t="s">
        <v>47</v>
      </c>
      <c r="C102" s="3" t="s">
        <v>32</v>
      </c>
      <c r="D102" s="3" t="s">
        <v>19</v>
      </c>
      <c r="E102" s="3" t="s">
        <v>26</v>
      </c>
      <c r="F102" s="3">
        <v>31</v>
      </c>
      <c r="G102" s="3">
        <v>8.0399999999999991</v>
      </c>
      <c r="H102" s="3">
        <v>0.06</v>
      </c>
      <c r="I102" s="3">
        <v>0.87</v>
      </c>
      <c r="J102" s="3">
        <v>3.74</v>
      </c>
      <c r="K102" s="3">
        <v>0</v>
      </c>
      <c r="L102" s="3">
        <v>27.06</v>
      </c>
      <c r="M102" s="4" t="str">
        <f t="shared" si="0"/>
        <v>Low</v>
      </c>
    </row>
    <row r="103" spans="1:13" ht="14.25" customHeight="1" x14ac:dyDescent="0.3">
      <c r="A103" s="3" t="s">
        <v>14</v>
      </c>
      <c r="B103" s="3" t="s">
        <v>47</v>
      </c>
      <c r="C103" s="3" t="s">
        <v>32</v>
      </c>
      <c r="D103" s="3" t="s">
        <v>21</v>
      </c>
      <c r="E103" s="3" t="s">
        <v>18</v>
      </c>
      <c r="F103" s="3">
        <v>62</v>
      </c>
      <c r="G103" s="3">
        <v>7.62</v>
      </c>
      <c r="H103" s="3">
        <v>0.12</v>
      </c>
      <c r="I103" s="3">
        <v>0.73</v>
      </c>
      <c r="J103" s="3">
        <v>4.42</v>
      </c>
      <c r="K103" s="3">
        <v>1</v>
      </c>
      <c r="L103" s="3">
        <v>28.43</v>
      </c>
      <c r="M103" s="4" t="str">
        <f t="shared" si="0"/>
        <v>High</v>
      </c>
    </row>
    <row r="104" spans="1:13" ht="14.25" customHeight="1" x14ac:dyDescent="0.3">
      <c r="A104" s="3" t="s">
        <v>14</v>
      </c>
      <c r="B104" s="3" t="s">
        <v>47</v>
      </c>
      <c r="C104" s="3" t="s">
        <v>33</v>
      </c>
      <c r="D104" s="3" t="s">
        <v>17</v>
      </c>
      <c r="E104" s="3" t="s">
        <v>22</v>
      </c>
      <c r="F104" s="3">
        <v>40</v>
      </c>
      <c r="G104" s="3">
        <v>5.8</v>
      </c>
      <c r="H104" s="3">
        <v>0.2</v>
      </c>
      <c r="I104" s="3">
        <v>0.81</v>
      </c>
      <c r="J104" s="3">
        <v>4.09</v>
      </c>
      <c r="K104" s="3">
        <v>0</v>
      </c>
      <c r="L104" s="3">
        <v>23.7</v>
      </c>
      <c r="M104" s="4" t="str">
        <f t="shared" si="0"/>
        <v>Low</v>
      </c>
    </row>
    <row r="105" spans="1:13" ht="14.25" customHeight="1" x14ac:dyDescent="0.3">
      <c r="A105" s="3" t="s">
        <v>14</v>
      </c>
      <c r="B105" s="3" t="s">
        <v>47</v>
      </c>
      <c r="C105" s="3" t="s">
        <v>33</v>
      </c>
      <c r="D105" s="3" t="s">
        <v>19</v>
      </c>
      <c r="E105" s="3" t="s">
        <v>18</v>
      </c>
      <c r="F105" s="3">
        <v>31</v>
      </c>
      <c r="G105" s="3">
        <v>6.48</v>
      </c>
      <c r="H105" s="3">
        <v>0.06</v>
      </c>
      <c r="I105" s="3">
        <v>0.87</v>
      </c>
      <c r="J105" s="3">
        <v>3.83</v>
      </c>
      <c r="K105" s="3">
        <v>1</v>
      </c>
      <c r="L105" s="3">
        <v>26.72</v>
      </c>
      <c r="M105" s="4" t="str">
        <f t="shared" si="0"/>
        <v>Low</v>
      </c>
    </row>
    <row r="106" spans="1:13" ht="14.25" customHeight="1" x14ac:dyDescent="0.3">
      <c r="A106" s="3" t="s">
        <v>14</v>
      </c>
      <c r="B106" s="3" t="s">
        <v>47</v>
      </c>
      <c r="C106" s="3" t="s">
        <v>33</v>
      </c>
      <c r="D106" s="3" t="s">
        <v>21</v>
      </c>
      <c r="E106" s="3" t="s">
        <v>26</v>
      </c>
      <c r="F106" s="3">
        <v>40</v>
      </c>
      <c r="G106" s="3">
        <v>8.39</v>
      </c>
      <c r="H106" s="3">
        <v>0.12</v>
      </c>
      <c r="I106" s="3">
        <v>0.63</v>
      </c>
      <c r="J106" s="3">
        <v>4.6100000000000003</v>
      </c>
      <c r="K106" s="3">
        <v>1</v>
      </c>
      <c r="L106" s="3">
        <v>29.58</v>
      </c>
      <c r="M106" s="4" t="str">
        <f t="shared" si="0"/>
        <v>High</v>
      </c>
    </row>
    <row r="107" spans="1:13" ht="14.25" customHeight="1" x14ac:dyDescent="0.3">
      <c r="A107" s="3" t="s">
        <v>14</v>
      </c>
      <c r="B107" s="3" t="s">
        <v>48</v>
      </c>
      <c r="C107" s="3" t="s">
        <v>16</v>
      </c>
      <c r="D107" s="3" t="s">
        <v>17</v>
      </c>
      <c r="E107" s="3" t="s">
        <v>18</v>
      </c>
      <c r="F107" s="3">
        <v>40</v>
      </c>
      <c r="G107" s="3">
        <v>5.4</v>
      </c>
      <c r="H107" s="3">
        <v>0.14000000000000001</v>
      </c>
      <c r="I107" s="3">
        <v>0.78</v>
      </c>
      <c r="J107" s="3">
        <v>3.59</v>
      </c>
      <c r="K107" s="3">
        <v>1</v>
      </c>
      <c r="L107" s="3">
        <v>25.1</v>
      </c>
      <c r="M107" s="4" t="str">
        <f t="shared" si="0"/>
        <v>Low</v>
      </c>
    </row>
    <row r="108" spans="1:13" ht="14.25" customHeight="1" x14ac:dyDescent="0.3">
      <c r="A108" s="3" t="s">
        <v>14</v>
      </c>
      <c r="B108" s="3" t="s">
        <v>48</v>
      </c>
      <c r="C108" s="3" t="s">
        <v>16</v>
      </c>
      <c r="D108" s="3" t="s">
        <v>19</v>
      </c>
      <c r="E108" s="3" t="s">
        <v>18</v>
      </c>
      <c r="F108" s="3">
        <v>58</v>
      </c>
      <c r="G108" s="3">
        <v>6.34</v>
      </c>
      <c r="H108" s="3">
        <v>0.05</v>
      </c>
      <c r="I108" s="3">
        <v>0.77</v>
      </c>
      <c r="J108" s="3">
        <v>3.71</v>
      </c>
      <c r="K108" s="3">
        <v>2</v>
      </c>
      <c r="L108" s="3">
        <v>28.51</v>
      </c>
      <c r="M108" s="4" t="str">
        <f t="shared" si="0"/>
        <v>High</v>
      </c>
    </row>
    <row r="109" spans="1:13" ht="14.25" customHeight="1" x14ac:dyDescent="0.3">
      <c r="A109" s="3" t="s">
        <v>14</v>
      </c>
      <c r="B109" s="3" t="s">
        <v>48</v>
      </c>
      <c r="C109" s="3" t="s">
        <v>16</v>
      </c>
      <c r="D109" s="3" t="s">
        <v>21</v>
      </c>
      <c r="E109" s="3" t="s">
        <v>18</v>
      </c>
      <c r="F109" s="3">
        <v>55</v>
      </c>
      <c r="G109" s="3">
        <v>5.59</v>
      </c>
      <c r="H109" s="3">
        <v>0.14000000000000001</v>
      </c>
      <c r="I109" s="3">
        <v>0.68</v>
      </c>
      <c r="J109" s="3">
        <v>4.26</v>
      </c>
      <c r="K109" s="3">
        <v>1</v>
      </c>
      <c r="L109" s="3">
        <v>25.38</v>
      </c>
      <c r="M109" s="4" t="str">
        <f t="shared" si="0"/>
        <v>Low</v>
      </c>
    </row>
    <row r="110" spans="1:13" ht="14.25" customHeight="1" x14ac:dyDescent="0.3">
      <c r="A110" s="3" t="s">
        <v>14</v>
      </c>
      <c r="B110" s="3" t="s">
        <v>48</v>
      </c>
      <c r="C110" s="3" t="s">
        <v>24</v>
      </c>
      <c r="D110" s="3" t="s">
        <v>17</v>
      </c>
      <c r="E110" s="3" t="s">
        <v>18</v>
      </c>
      <c r="F110" s="3">
        <v>69</v>
      </c>
      <c r="G110" s="3">
        <v>5.32</v>
      </c>
      <c r="H110" s="3">
        <v>0.06</v>
      </c>
      <c r="I110" s="3">
        <v>0.86</v>
      </c>
      <c r="J110" s="3">
        <v>4.1500000000000004</v>
      </c>
      <c r="K110" s="3">
        <v>0</v>
      </c>
      <c r="L110" s="3">
        <v>22.98</v>
      </c>
      <c r="M110" s="4" t="str">
        <f t="shared" si="0"/>
        <v>Low</v>
      </c>
    </row>
    <row r="111" spans="1:13" ht="14.25" customHeight="1" x14ac:dyDescent="0.3">
      <c r="A111" s="3" t="s">
        <v>14</v>
      </c>
      <c r="B111" s="3" t="s">
        <v>48</v>
      </c>
      <c r="C111" s="3" t="s">
        <v>24</v>
      </c>
      <c r="D111" s="3" t="s">
        <v>19</v>
      </c>
      <c r="E111" s="3" t="s">
        <v>26</v>
      </c>
      <c r="F111" s="3">
        <v>31</v>
      </c>
      <c r="G111" s="3">
        <v>3.77</v>
      </c>
      <c r="H111" s="3">
        <v>0.09</v>
      </c>
      <c r="I111" s="3">
        <v>0.89</v>
      </c>
      <c r="J111" s="3">
        <v>4.3099999999999996</v>
      </c>
      <c r="K111" s="3">
        <v>0</v>
      </c>
      <c r="L111" s="3">
        <v>20.66</v>
      </c>
      <c r="M111" s="4" t="str">
        <f t="shared" si="0"/>
        <v>Low</v>
      </c>
    </row>
    <row r="112" spans="1:13" ht="14.25" customHeight="1" x14ac:dyDescent="0.3">
      <c r="A112" s="3" t="s">
        <v>14</v>
      </c>
      <c r="B112" s="3" t="s">
        <v>48</v>
      </c>
      <c r="C112" s="3" t="s">
        <v>24</v>
      </c>
      <c r="D112" s="3" t="s">
        <v>21</v>
      </c>
      <c r="E112" s="3" t="s">
        <v>26</v>
      </c>
      <c r="F112" s="3">
        <v>36</v>
      </c>
      <c r="G112" s="3">
        <v>6.92</v>
      </c>
      <c r="H112" s="3">
        <v>0.04</v>
      </c>
      <c r="I112" s="3">
        <v>0.82</v>
      </c>
      <c r="J112" s="3">
        <v>4.1399999999999997</v>
      </c>
      <c r="K112" s="3">
        <v>1</v>
      </c>
      <c r="L112" s="3">
        <v>27.38</v>
      </c>
      <c r="M112" s="4" t="str">
        <f t="shared" si="0"/>
        <v>Low</v>
      </c>
    </row>
    <row r="113" spans="1:13" ht="14.25" customHeight="1" x14ac:dyDescent="0.3">
      <c r="A113" s="3" t="s">
        <v>14</v>
      </c>
      <c r="B113" s="3" t="s">
        <v>48</v>
      </c>
      <c r="C113" s="3" t="s">
        <v>29</v>
      </c>
      <c r="D113" s="3" t="s">
        <v>17</v>
      </c>
      <c r="E113" s="3" t="s">
        <v>18</v>
      </c>
      <c r="F113" s="3">
        <v>58</v>
      </c>
      <c r="G113" s="3">
        <v>7.09</v>
      </c>
      <c r="H113" s="3">
        <v>0.04</v>
      </c>
      <c r="I113" s="3">
        <v>0.8</v>
      </c>
      <c r="J113" s="3">
        <v>3.82</v>
      </c>
      <c r="K113" s="3">
        <v>1</v>
      </c>
      <c r="L113" s="3">
        <v>27.64</v>
      </c>
      <c r="M113" s="4" t="str">
        <f t="shared" si="0"/>
        <v>Low</v>
      </c>
    </row>
    <row r="114" spans="1:13" ht="14.25" customHeight="1" x14ac:dyDescent="0.3">
      <c r="A114" s="3" t="s">
        <v>14</v>
      </c>
      <c r="B114" s="3" t="s">
        <v>48</v>
      </c>
      <c r="C114" s="3" t="s">
        <v>29</v>
      </c>
      <c r="D114" s="3" t="s">
        <v>19</v>
      </c>
      <c r="E114" s="3" t="s">
        <v>22</v>
      </c>
      <c r="F114" s="3">
        <v>51</v>
      </c>
      <c r="G114" s="3">
        <v>5.95</v>
      </c>
      <c r="H114" s="3">
        <v>0.24</v>
      </c>
      <c r="I114" s="3">
        <v>0.77</v>
      </c>
      <c r="J114" s="3">
        <v>4.2</v>
      </c>
      <c r="K114" s="3">
        <v>0</v>
      </c>
      <c r="L114" s="3">
        <v>23.92</v>
      </c>
      <c r="M114" s="4" t="str">
        <f t="shared" si="0"/>
        <v>Low</v>
      </c>
    </row>
    <row r="115" spans="1:13" ht="14.25" customHeight="1" x14ac:dyDescent="0.3">
      <c r="A115" s="3" t="s">
        <v>14</v>
      </c>
      <c r="B115" s="3" t="s">
        <v>48</v>
      </c>
      <c r="C115" s="3" t="s">
        <v>29</v>
      </c>
      <c r="D115" s="3" t="s">
        <v>21</v>
      </c>
      <c r="E115" s="3" t="s">
        <v>18</v>
      </c>
      <c r="F115" s="3">
        <v>44</v>
      </c>
      <c r="G115" s="3">
        <v>7.84</v>
      </c>
      <c r="H115" s="3">
        <v>0.12</v>
      </c>
      <c r="I115" s="3">
        <v>0.64</v>
      </c>
      <c r="J115" s="3">
        <v>3.8</v>
      </c>
      <c r="K115" s="3">
        <v>1</v>
      </c>
      <c r="L115" s="3">
        <v>28.76</v>
      </c>
      <c r="M115" s="4" t="str">
        <f t="shared" si="0"/>
        <v>High</v>
      </c>
    </row>
    <row r="116" spans="1:13" ht="14.25" customHeight="1" x14ac:dyDescent="0.3">
      <c r="A116" s="3" t="s">
        <v>14</v>
      </c>
      <c r="B116" s="3" t="s">
        <v>48</v>
      </c>
      <c r="C116" s="3" t="s">
        <v>32</v>
      </c>
      <c r="D116" s="3" t="s">
        <v>17</v>
      </c>
      <c r="E116" s="3" t="s">
        <v>26</v>
      </c>
      <c r="F116" s="3">
        <v>60</v>
      </c>
      <c r="G116" s="3">
        <v>7.33</v>
      </c>
      <c r="H116" s="3">
        <v>0.11</v>
      </c>
      <c r="I116" s="3">
        <v>0.84</v>
      </c>
      <c r="J116" s="3">
        <v>4.57</v>
      </c>
      <c r="K116" s="3">
        <v>3</v>
      </c>
      <c r="L116" s="3">
        <v>32</v>
      </c>
      <c r="M116" s="4" t="str">
        <f t="shared" si="0"/>
        <v>High</v>
      </c>
    </row>
    <row r="117" spans="1:13" ht="14.25" customHeight="1" x14ac:dyDescent="0.3">
      <c r="A117" s="3" t="s">
        <v>14</v>
      </c>
      <c r="B117" s="3" t="s">
        <v>48</v>
      </c>
      <c r="C117" s="3" t="s">
        <v>32</v>
      </c>
      <c r="D117" s="3" t="s">
        <v>19</v>
      </c>
      <c r="E117" s="3" t="s">
        <v>18</v>
      </c>
      <c r="F117" s="3">
        <v>35</v>
      </c>
      <c r="G117" s="3">
        <v>8</v>
      </c>
      <c r="H117" s="3">
        <v>7.0000000000000007E-2</v>
      </c>
      <c r="I117" s="3">
        <v>0.82</v>
      </c>
      <c r="J117" s="3">
        <v>4.7300000000000004</v>
      </c>
      <c r="K117" s="3">
        <v>0</v>
      </c>
      <c r="L117" s="3">
        <v>27</v>
      </c>
      <c r="M117" s="4" t="str">
        <f t="shared" si="0"/>
        <v>Low</v>
      </c>
    </row>
    <row r="118" spans="1:13" ht="14.25" customHeight="1" x14ac:dyDescent="0.3">
      <c r="A118" s="3" t="s">
        <v>14</v>
      </c>
      <c r="B118" s="3" t="s">
        <v>48</v>
      </c>
      <c r="C118" s="3" t="s">
        <v>32</v>
      </c>
      <c r="D118" s="3" t="s">
        <v>21</v>
      </c>
      <c r="E118" s="3" t="s">
        <v>18</v>
      </c>
      <c r="F118" s="3">
        <v>47</v>
      </c>
      <c r="G118" s="3">
        <v>5.8</v>
      </c>
      <c r="H118" s="3">
        <v>0.13</v>
      </c>
      <c r="I118" s="3">
        <v>0.83</v>
      </c>
      <c r="J118" s="3">
        <v>4.2300000000000004</v>
      </c>
      <c r="K118" s="3">
        <v>1</v>
      </c>
      <c r="L118" s="3">
        <v>25.7</v>
      </c>
      <c r="M118" s="4" t="str">
        <f t="shared" si="0"/>
        <v>Low</v>
      </c>
    </row>
    <row r="119" spans="1:13" ht="14.25" customHeight="1" x14ac:dyDescent="0.3">
      <c r="A119" s="3" t="s">
        <v>14</v>
      </c>
      <c r="B119" s="3" t="s">
        <v>48</v>
      </c>
      <c r="C119" s="3" t="s">
        <v>33</v>
      </c>
      <c r="D119" s="3" t="s">
        <v>17</v>
      </c>
      <c r="E119" s="3" t="s">
        <v>26</v>
      </c>
      <c r="F119" s="3">
        <v>37</v>
      </c>
      <c r="G119" s="3">
        <v>6.05</v>
      </c>
      <c r="H119" s="3">
        <v>0.1</v>
      </c>
      <c r="I119" s="3">
        <v>0.87</v>
      </c>
      <c r="J119" s="3">
        <v>3.99</v>
      </c>
      <c r="K119" s="3">
        <v>0</v>
      </c>
      <c r="L119" s="3">
        <v>24.08</v>
      </c>
      <c r="M119" s="4" t="str">
        <f t="shared" si="0"/>
        <v>Low</v>
      </c>
    </row>
    <row r="120" spans="1:13" ht="14.25" customHeight="1" x14ac:dyDescent="0.3">
      <c r="A120" s="3" t="s">
        <v>14</v>
      </c>
      <c r="B120" s="3" t="s">
        <v>48</v>
      </c>
      <c r="C120" s="3" t="s">
        <v>33</v>
      </c>
      <c r="D120" s="3" t="s">
        <v>19</v>
      </c>
      <c r="E120" s="3" t="s">
        <v>22</v>
      </c>
      <c r="F120" s="3">
        <v>43</v>
      </c>
      <c r="G120" s="3">
        <v>5.01</v>
      </c>
      <c r="H120" s="3">
        <v>0.3</v>
      </c>
      <c r="I120" s="3">
        <v>0.88</v>
      </c>
      <c r="J120" s="3">
        <v>3.66</v>
      </c>
      <c r="K120" s="3">
        <v>2</v>
      </c>
      <c r="L120" s="3">
        <v>26.52</v>
      </c>
      <c r="M120" s="4" t="str">
        <f t="shared" si="0"/>
        <v>Low</v>
      </c>
    </row>
    <row r="121" spans="1:13" ht="14.25" customHeight="1" x14ac:dyDescent="0.3">
      <c r="A121" s="3" t="s">
        <v>14</v>
      </c>
      <c r="B121" s="3" t="s">
        <v>48</v>
      </c>
      <c r="C121" s="3" t="s">
        <v>33</v>
      </c>
      <c r="D121" s="3" t="s">
        <v>21</v>
      </c>
      <c r="E121" s="3" t="s">
        <v>26</v>
      </c>
      <c r="F121" s="3">
        <v>69</v>
      </c>
      <c r="G121" s="3">
        <v>5.87</v>
      </c>
      <c r="H121" s="3">
        <v>0.1</v>
      </c>
      <c r="I121" s="3">
        <v>0.69</v>
      </c>
      <c r="J121" s="3">
        <v>4.47</v>
      </c>
      <c r="K121" s="3">
        <v>0</v>
      </c>
      <c r="L121" s="3">
        <v>23.8</v>
      </c>
      <c r="M121" s="4" t="str">
        <f t="shared" si="0"/>
        <v>Low</v>
      </c>
    </row>
    <row r="122" spans="1:13" ht="14.25" customHeight="1" x14ac:dyDescent="0.3">
      <c r="A122" s="3" t="s">
        <v>14</v>
      </c>
      <c r="B122" s="3" t="s">
        <v>49</v>
      </c>
      <c r="C122" s="3" t="s">
        <v>16</v>
      </c>
      <c r="D122" s="3" t="s">
        <v>17</v>
      </c>
      <c r="E122" s="3" t="s">
        <v>26</v>
      </c>
      <c r="F122" s="3">
        <v>55</v>
      </c>
      <c r="G122" s="3">
        <v>4.99</v>
      </c>
      <c r="H122" s="3">
        <v>0.09</v>
      </c>
      <c r="I122" s="3">
        <v>0.89</v>
      </c>
      <c r="J122" s="3">
        <v>3.95</v>
      </c>
      <c r="K122" s="3">
        <v>0</v>
      </c>
      <c r="L122" s="3">
        <v>22.48</v>
      </c>
      <c r="M122" s="4" t="str">
        <f t="shared" si="0"/>
        <v>Low</v>
      </c>
    </row>
    <row r="123" spans="1:13" ht="14.25" customHeight="1" x14ac:dyDescent="0.3">
      <c r="A123" s="3" t="s">
        <v>14</v>
      </c>
      <c r="B123" s="3" t="s">
        <v>49</v>
      </c>
      <c r="C123" s="3" t="s">
        <v>16</v>
      </c>
      <c r="D123" s="3" t="s">
        <v>19</v>
      </c>
      <c r="E123" s="3" t="s">
        <v>26</v>
      </c>
      <c r="F123" s="3">
        <v>46</v>
      </c>
      <c r="G123" s="3">
        <v>4.3499999999999996</v>
      </c>
      <c r="H123" s="3">
        <v>0.1</v>
      </c>
      <c r="I123" s="3">
        <v>0.75</v>
      </c>
      <c r="J123" s="3">
        <v>4.6900000000000004</v>
      </c>
      <c r="K123" s="3">
        <v>0</v>
      </c>
      <c r="L123" s="3">
        <v>21.52</v>
      </c>
      <c r="M123" s="4" t="str">
        <f t="shared" si="0"/>
        <v>Low</v>
      </c>
    </row>
    <row r="124" spans="1:13" ht="14.25" customHeight="1" x14ac:dyDescent="0.3">
      <c r="A124" s="3" t="s">
        <v>14</v>
      </c>
      <c r="B124" s="3" t="s">
        <v>49</v>
      </c>
      <c r="C124" s="3" t="s">
        <v>16</v>
      </c>
      <c r="D124" s="3" t="s">
        <v>21</v>
      </c>
      <c r="E124" s="3" t="s">
        <v>18</v>
      </c>
      <c r="F124" s="3">
        <v>35</v>
      </c>
      <c r="G124" s="3">
        <v>5.28</v>
      </c>
      <c r="H124" s="3">
        <v>0.05</v>
      </c>
      <c r="I124" s="3">
        <v>0.65</v>
      </c>
      <c r="J124" s="3">
        <v>4.17</v>
      </c>
      <c r="K124" s="3">
        <v>3</v>
      </c>
      <c r="L124" s="3">
        <v>28.92</v>
      </c>
      <c r="M124" s="4" t="str">
        <f t="shared" si="0"/>
        <v>High</v>
      </c>
    </row>
    <row r="125" spans="1:13" ht="14.25" customHeight="1" x14ac:dyDescent="0.3">
      <c r="A125" s="3" t="s">
        <v>14</v>
      </c>
      <c r="B125" s="3" t="s">
        <v>49</v>
      </c>
      <c r="C125" s="3" t="s">
        <v>24</v>
      </c>
      <c r="D125" s="3" t="s">
        <v>17</v>
      </c>
      <c r="E125" s="3" t="s">
        <v>18</v>
      </c>
      <c r="F125" s="3">
        <v>49</v>
      </c>
      <c r="G125" s="3">
        <v>6.91</v>
      </c>
      <c r="H125" s="3">
        <v>7.0000000000000007E-2</v>
      </c>
      <c r="I125" s="3">
        <v>0.76</v>
      </c>
      <c r="J125" s="3">
        <v>4.8</v>
      </c>
      <c r="K125" s="3">
        <v>0</v>
      </c>
      <c r="L125" s="3">
        <v>25.36</v>
      </c>
      <c r="M125" s="4" t="str">
        <f t="shared" si="0"/>
        <v>Low</v>
      </c>
    </row>
    <row r="126" spans="1:13" ht="14.25" customHeight="1" x14ac:dyDescent="0.3">
      <c r="A126" s="3" t="s">
        <v>14</v>
      </c>
      <c r="B126" s="3" t="s">
        <v>49</v>
      </c>
      <c r="C126" s="3" t="s">
        <v>24</v>
      </c>
      <c r="D126" s="3" t="s">
        <v>19</v>
      </c>
      <c r="E126" s="3" t="s">
        <v>18</v>
      </c>
      <c r="F126" s="3">
        <v>42</v>
      </c>
      <c r="G126" s="3">
        <v>4.6399999999999997</v>
      </c>
      <c r="H126" s="3">
        <v>0.12</v>
      </c>
      <c r="I126" s="3">
        <v>0.8</v>
      </c>
      <c r="J126" s="3">
        <v>4.1100000000000003</v>
      </c>
      <c r="K126" s="3">
        <v>1</v>
      </c>
      <c r="L126" s="3">
        <v>23.96</v>
      </c>
      <c r="M126" s="4" t="str">
        <f t="shared" si="0"/>
        <v>Low</v>
      </c>
    </row>
    <row r="127" spans="1:13" ht="14.25" customHeight="1" x14ac:dyDescent="0.3">
      <c r="A127" s="3" t="s">
        <v>14</v>
      </c>
      <c r="B127" s="3" t="s">
        <v>49</v>
      </c>
      <c r="C127" s="3" t="s">
        <v>24</v>
      </c>
      <c r="D127" s="3" t="s">
        <v>21</v>
      </c>
      <c r="E127" s="3" t="s">
        <v>18</v>
      </c>
      <c r="F127" s="3">
        <v>45</v>
      </c>
      <c r="G127" s="3">
        <v>4.09</v>
      </c>
      <c r="H127" s="3">
        <v>0.09</v>
      </c>
      <c r="I127" s="3">
        <v>0.62</v>
      </c>
      <c r="J127" s="3">
        <v>4.51</v>
      </c>
      <c r="K127" s="3">
        <v>0</v>
      </c>
      <c r="L127" s="3">
        <v>21.14</v>
      </c>
      <c r="M127" s="4" t="str">
        <f t="shared" si="0"/>
        <v>Low</v>
      </c>
    </row>
    <row r="128" spans="1:13" ht="14.25" customHeight="1" x14ac:dyDescent="0.3">
      <c r="A128" s="3" t="s">
        <v>14</v>
      </c>
      <c r="B128" s="3" t="s">
        <v>49</v>
      </c>
      <c r="C128" s="3" t="s">
        <v>29</v>
      </c>
      <c r="D128" s="3" t="s">
        <v>17</v>
      </c>
      <c r="E128" s="3" t="s">
        <v>18</v>
      </c>
      <c r="F128" s="3">
        <v>57</v>
      </c>
      <c r="G128" s="3">
        <v>5.44</v>
      </c>
      <c r="H128" s="3">
        <v>0.12</v>
      </c>
      <c r="I128" s="3">
        <v>0.77</v>
      </c>
      <c r="J128" s="3">
        <v>3.93</v>
      </c>
      <c r="K128" s="3">
        <v>0</v>
      </c>
      <c r="L128" s="3">
        <v>23.16</v>
      </c>
      <c r="M128" s="4" t="str">
        <f t="shared" si="0"/>
        <v>Low</v>
      </c>
    </row>
    <row r="129" spans="1:13" ht="14.25" customHeight="1" x14ac:dyDescent="0.3">
      <c r="A129" s="3" t="s">
        <v>14</v>
      </c>
      <c r="B129" s="3" t="s">
        <v>49</v>
      </c>
      <c r="C129" s="3" t="s">
        <v>29</v>
      </c>
      <c r="D129" s="3" t="s">
        <v>19</v>
      </c>
      <c r="E129" s="3" t="s">
        <v>26</v>
      </c>
      <c r="F129" s="3">
        <v>39</v>
      </c>
      <c r="G129" s="3">
        <v>2.4300000000000002</v>
      </c>
      <c r="H129" s="3">
        <v>0.06</v>
      </c>
      <c r="I129" s="3">
        <v>0.85</v>
      </c>
      <c r="J129" s="3">
        <v>4.03</v>
      </c>
      <c r="K129" s="3">
        <v>0</v>
      </c>
      <c r="L129" s="3">
        <v>18.64</v>
      </c>
      <c r="M129" s="4" t="str">
        <f t="shared" si="0"/>
        <v>Low</v>
      </c>
    </row>
    <row r="130" spans="1:13" ht="14.25" customHeight="1" x14ac:dyDescent="0.3">
      <c r="A130" s="3" t="s">
        <v>14</v>
      </c>
      <c r="B130" s="3" t="s">
        <v>49</v>
      </c>
      <c r="C130" s="3" t="s">
        <v>29</v>
      </c>
      <c r="D130" s="3" t="s">
        <v>21</v>
      </c>
      <c r="E130" s="3" t="s">
        <v>22</v>
      </c>
      <c r="F130" s="3">
        <v>79</v>
      </c>
      <c r="G130" s="3">
        <v>5.74</v>
      </c>
      <c r="H130" s="3">
        <v>0.19</v>
      </c>
      <c r="I130" s="3">
        <v>0.66</v>
      </c>
      <c r="J130" s="3">
        <v>3.75</v>
      </c>
      <c r="K130" s="3">
        <v>0</v>
      </c>
      <c r="L130" s="3">
        <v>23.61</v>
      </c>
      <c r="M130" s="4" t="str">
        <f t="shared" si="0"/>
        <v>Low</v>
      </c>
    </row>
    <row r="131" spans="1:13" ht="14.25" customHeight="1" x14ac:dyDescent="0.3">
      <c r="A131" s="3" t="s">
        <v>14</v>
      </c>
      <c r="B131" s="3" t="s">
        <v>49</v>
      </c>
      <c r="C131" s="3" t="s">
        <v>32</v>
      </c>
      <c r="D131" s="3" t="s">
        <v>17</v>
      </c>
      <c r="E131" s="3" t="s">
        <v>18</v>
      </c>
      <c r="F131" s="3">
        <v>76</v>
      </c>
      <c r="G131" s="3">
        <v>7.02</v>
      </c>
      <c r="H131" s="3">
        <v>0.09</v>
      </c>
      <c r="I131" s="3">
        <v>0.88</v>
      </c>
      <c r="J131" s="3">
        <v>4.22</v>
      </c>
      <c r="K131" s="3">
        <v>1</v>
      </c>
      <c r="L131" s="3">
        <v>27.53</v>
      </c>
      <c r="M131" s="4" t="str">
        <f t="shared" si="0"/>
        <v>Low</v>
      </c>
    </row>
    <row r="132" spans="1:13" ht="14.25" customHeight="1" x14ac:dyDescent="0.3">
      <c r="A132" s="3" t="s">
        <v>14</v>
      </c>
      <c r="B132" s="3" t="s">
        <v>49</v>
      </c>
      <c r="C132" s="3" t="s">
        <v>32</v>
      </c>
      <c r="D132" s="3" t="s">
        <v>19</v>
      </c>
      <c r="E132" s="3" t="s">
        <v>26</v>
      </c>
      <c r="F132" s="3">
        <v>53</v>
      </c>
      <c r="G132" s="3">
        <v>6.71</v>
      </c>
      <c r="H132" s="3">
        <v>0.13</v>
      </c>
      <c r="I132" s="3">
        <v>0.81</v>
      </c>
      <c r="J132" s="3">
        <v>4.37</v>
      </c>
      <c r="K132" s="3">
        <v>0</v>
      </c>
      <c r="L132" s="3">
        <v>25.06</v>
      </c>
      <c r="M132" s="4" t="str">
        <f t="shared" si="0"/>
        <v>Low</v>
      </c>
    </row>
    <row r="133" spans="1:13" ht="14.25" customHeight="1" x14ac:dyDescent="0.3">
      <c r="A133" s="3" t="s">
        <v>14</v>
      </c>
      <c r="B133" s="3" t="s">
        <v>49</v>
      </c>
      <c r="C133" s="3" t="s">
        <v>32</v>
      </c>
      <c r="D133" s="3" t="s">
        <v>21</v>
      </c>
      <c r="E133" s="3" t="s">
        <v>22</v>
      </c>
      <c r="F133" s="3">
        <v>77</v>
      </c>
      <c r="G133" s="3">
        <v>6.44</v>
      </c>
      <c r="H133" s="3">
        <v>7.0000000000000007E-2</v>
      </c>
      <c r="I133" s="3">
        <v>0.76</v>
      </c>
      <c r="J133" s="3">
        <v>4.46</v>
      </c>
      <c r="K133" s="3">
        <v>2</v>
      </c>
      <c r="L133" s="3">
        <v>28.66</v>
      </c>
      <c r="M133" s="4" t="str">
        <f t="shared" si="0"/>
        <v>High</v>
      </c>
    </row>
    <row r="134" spans="1:13" ht="14.25" customHeight="1" x14ac:dyDescent="0.3">
      <c r="A134" s="3" t="s">
        <v>14</v>
      </c>
      <c r="B134" s="3" t="s">
        <v>49</v>
      </c>
      <c r="C134" s="3" t="s">
        <v>33</v>
      </c>
      <c r="D134" s="3" t="s">
        <v>17</v>
      </c>
      <c r="E134" s="3" t="s">
        <v>22</v>
      </c>
      <c r="F134" s="3">
        <v>48</v>
      </c>
      <c r="G134" s="3">
        <v>4.33</v>
      </c>
      <c r="H134" s="3">
        <v>0.27</v>
      </c>
      <c r="I134" s="3">
        <v>0.87</v>
      </c>
      <c r="J134" s="3">
        <v>3.94</v>
      </c>
      <c r="K134" s="3">
        <v>0</v>
      </c>
      <c r="L134" s="3">
        <v>21.5</v>
      </c>
      <c r="M134" s="4" t="str">
        <f t="shared" si="0"/>
        <v>Low</v>
      </c>
    </row>
    <row r="135" spans="1:13" ht="14.25" customHeight="1" x14ac:dyDescent="0.3">
      <c r="A135" s="3" t="s">
        <v>14</v>
      </c>
      <c r="B135" s="3" t="s">
        <v>49</v>
      </c>
      <c r="C135" s="3" t="s">
        <v>33</v>
      </c>
      <c r="D135" s="3" t="s">
        <v>19</v>
      </c>
      <c r="E135" s="3" t="s">
        <v>18</v>
      </c>
      <c r="F135" s="3">
        <v>52</v>
      </c>
      <c r="G135" s="3">
        <v>7.76</v>
      </c>
      <c r="H135" s="3">
        <v>0.02</v>
      </c>
      <c r="I135" s="3">
        <v>0.87</v>
      </c>
      <c r="J135" s="3">
        <v>3.95</v>
      </c>
      <c r="K135" s="3">
        <v>1</v>
      </c>
      <c r="L135" s="3">
        <v>28.64</v>
      </c>
      <c r="M135" s="4" t="str">
        <f t="shared" si="0"/>
        <v>High</v>
      </c>
    </row>
    <row r="136" spans="1:13" ht="14.25" customHeight="1" x14ac:dyDescent="0.3">
      <c r="A136" s="3" t="s">
        <v>14</v>
      </c>
      <c r="B136" s="3" t="s">
        <v>49</v>
      </c>
      <c r="C136" s="3" t="s">
        <v>33</v>
      </c>
      <c r="D136" s="3" t="s">
        <v>21</v>
      </c>
      <c r="E136" s="3" t="s">
        <v>18</v>
      </c>
      <c r="F136" s="3">
        <v>73</v>
      </c>
      <c r="G136" s="3">
        <v>5.64</v>
      </c>
      <c r="H136" s="3">
        <v>0.09</v>
      </c>
      <c r="I136" s="3">
        <v>0.85</v>
      </c>
      <c r="J136" s="3">
        <v>4.1100000000000003</v>
      </c>
      <c r="K136" s="3">
        <v>0</v>
      </c>
      <c r="L136" s="3">
        <v>23.46</v>
      </c>
      <c r="M136" s="4" t="str">
        <f t="shared" si="0"/>
        <v>Low</v>
      </c>
    </row>
    <row r="137" spans="1:13" ht="14.25" customHeight="1" x14ac:dyDescent="0.3">
      <c r="A137" s="3" t="s">
        <v>14</v>
      </c>
      <c r="B137" s="3" t="s">
        <v>50</v>
      </c>
      <c r="C137" s="3" t="s">
        <v>16</v>
      </c>
      <c r="D137" s="3" t="s">
        <v>17</v>
      </c>
      <c r="E137" s="3" t="s">
        <v>18</v>
      </c>
      <c r="F137" s="3">
        <v>46</v>
      </c>
      <c r="G137" s="3">
        <v>6.26</v>
      </c>
      <c r="H137" s="3">
        <v>0.05</v>
      </c>
      <c r="I137" s="3">
        <v>0.83</v>
      </c>
      <c r="J137" s="3">
        <v>4.32</v>
      </c>
      <c r="K137" s="3">
        <v>0</v>
      </c>
      <c r="L137" s="3">
        <v>24.39</v>
      </c>
      <c r="M137" s="4" t="str">
        <f t="shared" si="0"/>
        <v>Low</v>
      </c>
    </row>
    <row r="138" spans="1:13" ht="14.25" customHeight="1" x14ac:dyDescent="0.3">
      <c r="A138" s="3" t="s">
        <v>14</v>
      </c>
      <c r="B138" s="3" t="s">
        <v>50</v>
      </c>
      <c r="C138" s="3" t="s">
        <v>16</v>
      </c>
      <c r="D138" s="3" t="s">
        <v>19</v>
      </c>
      <c r="E138" s="3" t="s">
        <v>22</v>
      </c>
      <c r="F138" s="3">
        <v>72</v>
      </c>
      <c r="G138" s="3">
        <v>4.96</v>
      </c>
      <c r="H138" s="3">
        <v>0.28000000000000003</v>
      </c>
      <c r="I138" s="3">
        <v>0.85</v>
      </c>
      <c r="J138" s="3">
        <v>4.3899999999999997</v>
      </c>
      <c r="K138" s="3">
        <v>2</v>
      </c>
      <c r="L138" s="3">
        <v>26.44</v>
      </c>
      <c r="M138" s="4" t="str">
        <f t="shared" si="0"/>
        <v>Low</v>
      </c>
    </row>
    <row r="139" spans="1:13" ht="14.25" customHeight="1" x14ac:dyDescent="0.3">
      <c r="A139" s="3" t="s">
        <v>14</v>
      </c>
      <c r="B139" s="3" t="s">
        <v>50</v>
      </c>
      <c r="C139" s="3" t="s">
        <v>16</v>
      </c>
      <c r="D139" s="3" t="s">
        <v>21</v>
      </c>
      <c r="E139" s="3" t="s">
        <v>18</v>
      </c>
      <c r="F139" s="3">
        <v>71</v>
      </c>
      <c r="G139" s="3">
        <v>5.78</v>
      </c>
      <c r="H139" s="3">
        <v>0.09</v>
      </c>
      <c r="I139" s="3">
        <v>0.67</v>
      </c>
      <c r="J139" s="3">
        <v>4.22</v>
      </c>
      <c r="K139" s="3">
        <v>1</v>
      </c>
      <c r="L139" s="3">
        <v>25.67</v>
      </c>
      <c r="M139" s="4" t="str">
        <f t="shared" si="0"/>
        <v>Low</v>
      </c>
    </row>
    <row r="140" spans="1:13" ht="14.25" customHeight="1" x14ac:dyDescent="0.3">
      <c r="A140" s="3" t="s">
        <v>14</v>
      </c>
      <c r="B140" s="3" t="s">
        <v>50</v>
      </c>
      <c r="C140" s="3" t="s">
        <v>24</v>
      </c>
      <c r="D140" s="3" t="s">
        <v>17</v>
      </c>
      <c r="E140" s="3" t="s">
        <v>26</v>
      </c>
      <c r="F140" s="3">
        <v>52</v>
      </c>
      <c r="G140" s="3">
        <v>5.0999999999999996</v>
      </c>
      <c r="H140" s="3">
        <v>0.12</v>
      </c>
      <c r="I140" s="3">
        <v>0.79</v>
      </c>
      <c r="J140" s="3">
        <v>4.32</v>
      </c>
      <c r="K140" s="3">
        <v>0</v>
      </c>
      <c r="L140" s="3">
        <v>22.65</v>
      </c>
      <c r="M140" s="4" t="str">
        <f t="shared" si="0"/>
        <v>Low</v>
      </c>
    </row>
    <row r="141" spans="1:13" ht="14.25" customHeight="1" x14ac:dyDescent="0.3">
      <c r="A141" s="3" t="s">
        <v>14</v>
      </c>
      <c r="B141" s="3" t="s">
        <v>50</v>
      </c>
      <c r="C141" s="3" t="s">
        <v>24</v>
      </c>
      <c r="D141" s="3" t="s">
        <v>19</v>
      </c>
      <c r="E141" s="3" t="s">
        <v>18</v>
      </c>
      <c r="F141" s="3">
        <v>46</v>
      </c>
      <c r="G141" s="3">
        <v>5.09</v>
      </c>
      <c r="H141" s="3">
        <v>7.0000000000000007E-2</v>
      </c>
      <c r="I141" s="3">
        <v>0.81</v>
      </c>
      <c r="J141" s="3">
        <v>4.17</v>
      </c>
      <c r="K141" s="3">
        <v>0</v>
      </c>
      <c r="L141" s="3">
        <v>22.64</v>
      </c>
      <c r="M141" s="4" t="str">
        <f t="shared" si="0"/>
        <v>Low</v>
      </c>
    </row>
    <row r="142" spans="1:13" ht="14.25" customHeight="1" x14ac:dyDescent="0.3">
      <c r="A142" s="3" t="s">
        <v>14</v>
      </c>
      <c r="B142" s="3" t="s">
        <v>50</v>
      </c>
      <c r="C142" s="3" t="s">
        <v>24</v>
      </c>
      <c r="D142" s="3" t="s">
        <v>21</v>
      </c>
      <c r="E142" s="3" t="s">
        <v>22</v>
      </c>
      <c r="F142" s="3">
        <v>72</v>
      </c>
      <c r="G142" s="3">
        <v>5.77</v>
      </c>
      <c r="H142" s="3">
        <v>0.28000000000000003</v>
      </c>
      <c r="I142" s="3">
        <v>0.78</v>
      </c>
      <c r="J142" s="3">
        <v>4.29</v>
      </c>
      <c r="K142" s="3">
        <v>2</v>
      </c>
      <c r="L142" s="3">
        <v>27.66</v>
      </c>
      <c r="M142" s="4" t="str">
        <f t="shared" si="0"/>
        <v>Low</v>
      </c>
    </row>
    <row r="143" spans="1:13" ht="14.25" customHeight="1" x14ac:dyDescent="0.3">
      <c r="A143" s="3" t="s">
        <v>14</v>
      </c>
      <c r="B143" s="3" t="s">
        <v>50</v>
      </c>
      <c r="C143" s="3" t="s">
        <v>29</v>
      </c>
      <c r="D143" s="3" t="s">
        <v>17</v>
      </c>
      <c r="E143" s="3" t="s">
        <v>18</v>
      </c>
      <c r="F143" s="3">
        <v>53</v>
      </c>
      <c r="G143" s="3">
        <v>7.21</v>
      </c>
      <c r="H143" s="3">
        <v>0.14000000000000001</v>
      </c>
      <c r="I143" s="3">
        <v>0.86</v>
      </c>
      <c r="J143" s="3">
        <v>3.78</v>
      </c>
      <c r="K143" s="3">
        <v>0</v>
      </c>
      <c r="L143" s="3">
        <v>25.82</v>
      </c>
      <c r="M143" s="4" t="str">
        <f t="shared" si="0"/>
        <v>Low</v>
      </c>
    </row>
    <row r="144" spans="1:13" ht="14.25" customHeight="1" x14ac:dyDescent="0.3">
      <c r="A144" s="3" t="s">
        <v>14</v>
      </c>
      <c r="B144" s="3" t="s">
        <v>50</v>
      </c>
      <c r="C144" s="3" t="s">
        <v>29</v>
      </c>
      <c r="D144" s="3" t="s">
        <v>19</v>
      </c>
      <c r="E144" s="3" t="s">
        <v>22</v>
      </c>
      <c r="F144" s="3">
        <v>64</v>
      </c>
      <c r="G144" s="3">
        <v>6.24</v>
      </c>
      <c r="H144" s="3">
        <v>0.28999999999999998</v>
      </c>
      <c r="I144" s="3">
        <v>0.77</v>
      </c>
      <c r="J144" s="3">
        <v>4.3099999999999996</v>
      </c>
      <c r="K144" s="3">
        <v>0</v>
      </c>
      <c r="L144" s="3">
        <v>24.36</v>
      </c>
      <c r="M144" s="4" t="str">
        <f t="shared" si="0"/>
        <v>Low</v>
      </c>
    </row>
    <row r="145" spans="1:13" ht="14.25" customHeight="1" x14ac:dyDescent="0.3">
      <c r="A145" s="3" t="s">
        <v>14</v>
      </c>
      <c r="B145" s="3" t="s">
        <v>50</v>
      </c>
      <c r="C145" s="3" t="s">
        <v>29</v>
      </c>
      <c r="D145" s="3" t="s">
        <v>21</v>
      </c>
      <c r="E145" s="3" t="s">
        <v>18</v>
      </c>
      <c r="F145" s="3">
        <v>69</v>
      </c>
      <c r="G145" s="3">
        <v>6.23</v>
      </c>
      <c r="H145" s="3">
        <v>0.11</v>
      </c>
      <c r="I145" s="3">
        <v>0.72</v>
      </c>
      <c r="J145" s="3">
        <v>4.3899999999999997</v>
      </c>
      <c r="K145" s="3">
        <v>0</v>
      </c>
      <c r="L145" s="3">
        <v>24.34</v>
      </c>
      <c r="M145" s="4" t="str">
        <f t="shared" si="0"/>
        <v>Low</v>
      </c>
    </row>
    <row r="146" spans="1:13" ht="14.25" customHeight="1" x14ac:dyDescent="0.3">
      <c r="A146" s="3" t="s">
        <v>14</v>
      </c>
      <c r="B146" s="3" t="s">
        <v>50</v>
      </c>
      <c r="C146" s="3" t="s">
        <v>32</v>
      </c>
      <c r="D146" s="3" t="s">
        <v>17</v>
      </c>
      <c r="E146" s="3" t="s">
        <v>22</v>
      </c>
      <c r="F146" s="3">
        <v>32</v>
      </c>
      <c r="G146" s="3">
        <v>5.69</v>
      </c>
      <c r="H146" s="3">
        <v>0.25</v>
      </c>
      <c r="I146" s="3">
        <v>0.89</v>
      </c>
      <c r="J146" s="3">
        <v>4.53</v>
      </c>
      <c r="K146" s="3">
        <v>1</v>
      </c>
      <c r="L146" s="3">
        <v>25.54</v>
      </c>
      <c r="M146" s="4" t="str">
        <f t="shared" si="0"/>
        <v>Low</v>
      </c>
    </row>
    <row r="147" spans="1:13" ht="14.25" customHeight="1" x14ac:dyDescent="0.3">
      <c r="A147" s="3" t="s">
        <v>14</v>
      </c>
      <c r="B147" s="3" t="s">
        <v>50</v>
      </c>
      <c r="C147" s="3" t="s">
        <v>32</v>
      </c>
      <c r="D147" s="3" t="s">
        <v>19</v>
      </c>
      <c r="E147" s="3" t="s">
        <v>18</v>
      </c>
      <c r="F147" s="3">
        <v>41</v>
      </c>
      <c r="G147" s="3">
        <v>5.34</v>
      </c>
      <c r="H147" s="3">
        <v>0.09</v>
      </c>
      <c r="I147" s="3">
        <v>0.88</v>
      </c>
      <c r="J147" s="3">
        <v>4.45</v>
      </c>
      <c r="K147" s="3">
        <v>2</v>
      </c>
      <c r="L147" s="3">
        <v>27.01</v>
      </c>
      <c r="M147" s="4" t="str">
        <f t="shared" si="0"/>
        <v>Low</v>
      </c>
    </row>
    <row r="148" spans="1:13" ht="14.25" customHeight="1" x14ac:dyDescent="0.3">
      <c r="A148" s="3" t="s">
        <v>14</v>
      </c>
      <c r="B148" s="3" t="s">
        <v>50</v>
      </c>
      <c r="C148" s="3" t="s">
        <v>32</v>
      </c>
      <c r="D148" s="3" t="s">
        <v>21</v>
      </c>
      <c r="E148" s="3" t="s">
        <v>18</v>
      </c>
      <c r="F148" s="3">
        <v>45</v>
      </c>
      <c r="G148" s="3">
        <v>5.55</v>
      </c>
      <c r="H148" s="3">
        <v>0.08</v>
      </c>
      <c r="I148" s="3">
        <v>0.66</v>
      </c>
      <c r="J148" s="3">
        <v>4.78</v>
      </c>
      <c r="K148" s="3">
        <v>2</v>
      </c>
      <c r="L148" s="3">
        <v>27.32</v>
      </c>
      <c r="M148" s="4" t="str">
        <f t="shared" si="0"/>
        <v>Low</v>
      </c>
    </row>
    <row r="149" spans="1:13" ht="14.25" customHeight="1" x14ac:dyDescent="0.3">
      <c r="A149" s="3" t="s">
        <v>14</v>
      </c>
      <c r="B149" s="3" t="s">
        <v>50</v>
      </c>
      <c r="C149" s="3" t="s">
        <v>33</v>
      </c>
      <c r="D149" s="3" t="s">
        <v>17</v>
      </c>
      <c r="E149" s="3" t="s">
        <v>22</v>
      </c>
      <c r="F149" s="3">
        <v>39</v>
      </c>
      <c r="G149" s="3">
        <v>6.63</v>
      </c>
      <c r="H149" s="3">
        <v>0.2</v>
      </c>
      <c r="I149" s="3">
        <v>0.9</v>
      </c>
      <c r="J149" s="3">
        <v>4.22</v>
      </c>
      <c r="K149" s="3">
        <v>0</v>
      </c>
      <c r="L149" s="3">
        <v>24.94</v>
      </c>
      <c r="M149" s="4" t="str">
        <f t="shared" si="0"/>
        <v>Low</v>
      </c>
    </row>
    <row r="150" spans="1:13" ht="14.25" customHeight="1" x14ac:dyDescent="0.3">
      <c r="A150" s="3" t="s">
        <v>14</v>
      </c>
      <c r="B150" s="3" t="s">
        <v>50</v>
      </c>
      <c r="C150" s="3" t="s">
        <v>33</v>
      </c>
      <c r="D150" s="3" t="s">
        <v>19</v>
      </c>
      <c r="E150" s="3" t="s">
        <v>18</v>
      </c>
      <c r="F150" s="3">
        <v>44</v>
      </c>
      <c r="G150" s="3">
        <v>4.92</v>
      </c>
      <c r="H150" s="3">
        <v>0.14000000000000001</v>
      </c>
      <c r="I150" s="3">
        <v>0.9</v>
      </c>
      <c r="J150" s="3">
        <v>4.7300000000000004</v>
      </c>
      <c r="K150" s="3">
        <v>0</v>
      </c>
      <c r="L150" s="3">
        <v>22.38</v>
      </c>
      <c r="M150" s="4" t="str">
        <f t="shared" si="0"/>
        <v>Low</v>
      </c>
    </row>
    <row r="151" spans="1:13" ht="14.25" customHeight="1" x14ac:dyDescent="0.3">
      <c r="A151" s="3" t="s">
        <v>14</v>
      </c>
      <c r="B151" s="3" t="s">
        <v>50</v>
      </c>
      <c r="C151" s="3" t="s">
        <v>33</v>
      </c>
      <c r="D151" s="3" t="s">
        <v>21</v>
      </c>
      <c r="E151" s="3" t="s">
        <v>26</v>
      </c>
      <c r="F151" s="3">
        <v>68</v>
      </c>
      <c r="G151" s="3">
        <v>7.05</v>
      </c>
      <c r="H151" s="3">
        <v>0.08</v>
      </c>
      <c r="I151" s="3">
        <v>0.73</v>
      </c>
      <c r="J151" s="3">
        <v>4.34</v>
      </c>
      <c r="K151" s="3">
        <v>1</v>
      </c>
      <c r="L151" s="3">
        <v>27.58</v>
      </c>
      <c r="M151" s="4" t="str">
        <f t="shared" si="0"/>
        <v>Low</v>
      </c>
    </row>
    <row r="152" spans="1:13" ht="14.25" customHeight="1" x14ac:dyDescent="0.3">
      <c r="A152" s="3" t="s">
        <v>51</v>
      </c>
      <c r="B152" s="3" t="s">
        <v>15</v>
      </c>
      <c r="C152" s="3" t="s">
        <v>16</v>
      </c>
      <c r="D152" s="3" t="s">
        <v>17</v>
      </c>
      <c r="E152" s="3" t="s">
        <v>18</v>
      </c>
      <c r="F152" s="3">
        <v>73</v>
      </c>
      <c r="G152" s="3">
        <v>6.46</v>
      </c>
      <c r="H152" s="3">
        <v>0.11</v>
      </c>
      <c r="I152" s="3">
        <v>0.76</v>
      </c>
      <c r="J152" s="3">
        <v>3.91</v>
      </c>
      <c r="K152" s="3">
        <v>0</v>
      </c>
      <c r="L152" s="3">
        <v>24.69</v>
      </c>
      <c r="M152" s="4" t="str">
        <f t="shared" si="0"/>
        <v>Low</v>
      </c>
    </row>
    <row r="153" spans="1:13" ht="14.25" customHeight="1" x14ac:dyDescent="0.3">
      <c r="A153" s="3" t="s">
        <v>51</v>
      </c>
      <c r="B153" s="3" t="s">
        <v>15</v>
      </c>
      <c r="C153" s="3" t="s">
        <v>16</v>
      </c>
      <c r="D153" s="3" t="s">
        <v>19</v>
      </c>
      <c r="E153" s="3" t="s">
        <v>26</v>
      </c>
      <c r="F153" s="3">
        <v>54</v>
      </c>
      <c r="G153" s="3">
        <v>8.7799999999999994</v>
      </c>
      <c r="H153" s="3">
        <v>0.12</v>
      </c>
      <c r="I153" s="3">
        <v>0.83</v>
      </c>
      <c r="J153" s="3">
        <v>4.05</v>
      </c>
      <c r="K153" s="3">
        <v>2</v>
      </c>
      <c r="L153" s="3">
        <v>32.17</v>
      </c>
      <c r="M153" s="4" t="str">
        <f t="shared" si="0"/>
        <v>High</v>
      </c>
    </row>
    <row r="154" spans="1:13" ht="14.25" customHeight="1" x14ac:dyDescent="0.3">
      <c r="A154" s="3" t="s">
        <v>51</v>
      </c>
      <c r="B154" s="3" t="s">
        <v>15</v>
      </c>
      <c r="C154" s="3" t="s">
        <v>16</v>
      </c>
      <c r="D154" s="3" t="s">
        <v>21</v>
      </c>
      <c r="E154" s="3" t="s">
        <v>18</v>
      </c>
      <c r="F154" s="3">
        <v>64</v>
      </c>
      <c r="G154" s="3">
        <v>7.58</v>
      </c>
      <c r="H154" s="3">
        <v>0.14000000000000001</v>
      </c>
      <c r="I154" s="3">
        <v>0.8</v>
      </c>
      <c r="J154" s="3">
        <v>4.8</v>
      </c>
      <c r="K154" s="3">
        <v>0</v>
      </c>
      <c r="L154" s="3">
        <v>26.37</v>
      </c>
      <c r="M154" s="4" t="str">
        <f t="shared" si="0"/>
        <v>Low</v>
      </c>
    </row>
    <row r="155" spans="1:13" ht="14.25" customHeight="1" x14ac:dyDescent="0.3">
      <c r="A155" s="3" t="s">
        <v>51</v>
      </c>
      <c r="B155" s="3" t="s">
        <v>15</v>
      </c>
      <c r="C155" s="3" t="s">
        <v>24</v>
      </c>
      <c r="D155" s="3" t="s">
        <v>17</v>
      </c>
      <c r="E155" s="3" t="s">
        <v>26</v>
      </c>
      <c r="F155" s="3">
        <v>58</v>
      </c>
      <c r="G155" s="3">
        <v>8.57</v>
      </c>
      <c r="H155" s="3">
        <v>0.02</v>
      </c>
      <c r="I155" s="3">
        <v>0.82</v>
      </c>
      <c r="J155" s="3">
        <v>4.25</v>
      </c>
      <c r="K155" s="3">
        <v>0</v>
      </c>
      <c r="L155" s="3">
        <v>27.86</v>
      </c>
      <c r="M155" s="4" t="str">
        <f t="shared" si="0"/>
        <v>High</v>
      </c>
    </row>
    <row r="156" spans="1:13" ht="14.25" customHeight="1" x14ac:dyDescent="0.3">
      <c r="A156" s="3" t="s">
        <v>51</v>
      </c>
      <c r="B156" s="3" t="s">
        <v>15</v>
      </c>
      <c r="C156" s="3" t="s">
        <v>24</v>
      </c>
      <c r="D156" s="3" t="s">
        <v>19</v>
      </c>
      <c r="E156" s="3" t="s">
        <v>18</v>
      </c>
      <c r="F156" s="3">
        <v>59</v>
      </c>
      <c r="G156" s="3">
        <v>5.82</v>
      </c>
      <c r="H156" s="3">
        <v>0.12</v>
      </c>
      <c r="I156" s="3">
        <v>0.79</v>
      </c>
      <c r="J156" s="3">
        <v>3.64</v>
      </c>
      <c r="K156" s="3">
        <v>0</v>
      </c>
      <c r="L156" s="3">
        <v>23.73</v>
      </c>
      <c r="M156" s="4" t="str">
        <f t="shared" si="0"/>
        <v>Low</v>
      </c>
    </row>
    <row r="157" spans="1:13" ht="14.25" customHeight="1" x14ac:dyDescent="0.3">
      <c r="A157" s="3" t="s">
        <v>51</v>
      </c>
      <c r="B157" s="3" t="s">
        <v>15</v>
      </c>
      <c r="C157" s="3" t="s">
        <v>24</v>
      </c>
      <c r="D157" s="3" t="s">
        <v>21</v>
      </c>
      <c r="E157" s="3" t="s">
        <v>22</v>
      </c>
      <c r="F157" s="3">
        <v>33</v>
      </c>
      <c r="G157" s="3">
        <v>5.74</v>
      </c>
      <c r="H157" s="3">
        <v>0.23</v>
      </c>
      <c r="I157" s="3">
        <v>0.75</v>
      </c>
      <c r="J157" s="3">
        <v>3.86</v>
      </c>
      <c r="K157" s="3">
        <v>2</v>
      </c>
      <c r="L157" s="3">
        <v>27.61</v>
      </c>
      <c r="M157" s="4" t="str">
        <f t="shared" si="0"/>
        <v>Low</v>
      </c>
    </row>
    <row r="158" spans="1:13" ht="14.25" customHeight="1" x14ac:dyDescent="0.3">
      <c r="A158" s="3" t="s">
        <v>51</v>
      </c>
      <c r="B158" s="3" t="s">
        <v>15</v>
      </c>
      <c r="C158" s="3" t="s">
        <v>29</v>
      </c>
      <c r="D158" s="3" t="s">
        <v>17</v>
      </c>
      <c r="E158" s="3" t="s">
        <v>22</v>
      </c>
      <c r="F158" s="3">
        <v>44</v>
      </c>
      <c r="G158" s="3">
        <v>9.0500000000000007</v>
      </c>
      <c r="H158" s="3">
        <v>0.1</v>
      </c>
      <c r="I158" s="3">
        <v>0.89</v>
      </c>
      <c r="J158" s="3">
        <v>4.5199999999999996</v>
      </c>
      <c r="K158" s="3">
        <v>0</v>
      </c>
      <c r="L158" s="3">
        <v>28.58</v>
      </c>
      <c r="M158" s="4" t="str">
        <f t="shared" si="0"/>
        <v>High</v>
      </c>
    </row>
    <row r="159" spans="1:13" ht="14.25" customHeight="1" x14ac:dyDescent="0.3">
      <c r="A159" s="3" t="s">
        <v>51</v>
      </c>
      <c r="B159" s="3" t="s">
        <v>15</v>
      </c>
      <c r="C159" s="3" t="s">
        <v>29</v>
      </c>
      <c r="D159" s="3" t="s">
        <v>19</v>
      </c>
      <c r="E159" s="3" t="s">
        <v>18</v>
      </c>
      <c r="F159" s="3">
        <v>75</v>
      </c>
      <c r="G159" s="3">
        <v>6.5</v>
      </c>
      <c r="H159" s="3">
        <v>0.1</v>
      </c>
      <c r="I159" s="3">
        <v>0.89</v>
      </c>
      <c r="J159" s="3">
        <v>4.79</v>
      </c>
      <c r="K159" s="3">
        <v>1</v>
      </c>
      <c r="L159" s="3">
        <v>26.75</v>
      </c>
      <c r="M159" s="4" t="str">
        <f t="shared" si="0"/>
        <v>Low</v>
      </c>
    </row>
    <row r="160" spans="1:13" ht="14.25" customHeight="1" x14ac:dyDescent="0.3">
      <c r="A160" s="3" t="s">
        <v>51</v>
      </c>
      <c r="B160" s="3" t="s">
        <v>15</v>
      </c>
      <c r="C160" s="3" t="s">
        <v>29</v>
      </c>
      <c r="D160" s="3" t="s">
        <v>21</v>
      </c>
      <c r="E160" s="3" t="s">
        <v>22</v>
      </c>
      <c r="F160" s="3">
        <v>37</v>
      </c>
      <c r="G160" s="3">
        <v>7.67</v>
      </c>
      <c r="H160" s="3">
        <v>0.2</v>
      </c>
      <c r="I160" s="3">
        <v>0.73</v>
      </c>
      <c r="J160" s="3">
        <v>3.8</v>
      </c>
      <c r="K160" s="3">
        <v>0</v>
      </c>
      <c r="L160" s="3">
        <v>26.5</v>
      </c>
      <c r="M160" s="4" t="str">
        <f t="shared" si="0"/>
        <v>Low</v>
      </c>
    </row>
    <row r="161" spans="1:13" ht="14.25" customHeight="1" x14ac:dyDescent="0.3">
      <c r="A161" s="3" t="s">
        <v>51</v>
      </c>
      <c r="B161" s="3" t="s">
        <v>15</v>
      </c>
      <c r="C161" s="3" t="s">
        <v>32</v>
      </c>
      <c r="D161" s="3" t="s">
        <v>17</v>
      </c>
      <c r="E161" s="3" t="s">
        <v>22</v>
      </c>
      <c r="F161" s="3">
        <v>78</v>
      </c>
      <c r="G161" s="3">
        <v>7.99</v>
      </c>
      <c r="H161" s="3">
        <v>0.28999999999999998</v>
      </c>
      <c r="I161" s="3">
        <v>0.87</v>
      </c>
      <c r="J161" s="3">
        <v>4.54</v>
      </c>
      <c r="K161" s="3">
        <v>1</v>
      </c>
      <c r="L161" s="3">
        <v>28.98</v>
      </c>
      <c r="M161" s="4" t="str">
        <f t="shared" si="0"/>
        <v>High</v>
      </c>
    </row>
    <row r="162" spans="1:13" ht="14.25" customHeight="1" x14ac:dyDescent="0.3">
      <c r="A162" s="3" t="s">
        <v>51</v>
      </c>
      <c r="B162" s="3" t="s">
        <v>15</v>
      </c>
      <c r="C162" s="3" t="s">
        <v>32</v>
      </c>
      <c r="D162" s="3" t="s">
        <v>19</v>
      </c>
      <c r="E162" s="3" t="s">
        <v>22</v>
      </c>
      <c r="F162" s="3">
        <v>38</v>
      </c>
      <c r="G162" s="3">
        <v>7.13</v>
      </c>
      <c r="H162" s="3">
        <v>0.24</v>
      </c>
      <c r="I162" s="3">
        <v>0.85</v>
      </c>
      <c r="J162" s="3">
        <v>3.7</v>
      </c>
      <c r="K162" s="3">
        <v>2</v>
      </c>
      <c r="L162" s="3">
        <v>29.7</v>
      </c>
      <c r="M162" s="4" t="str">
        <f t="shared" si="0"/>
        <v>High</v>
      </c>
    </row>
    <row r="163" spans="1:13" ht="14.25" customHeight="1" x14ac:dyDescent="0.3">
      <c r="A163" s="3" t="s">
        <v>51</v>
      </c>
      <c r="B163" s="3" t="s">
        <v>15</v>
      </c>
      <c r="C163" s="3" t="s">
        <v>32</v>
      </c>
      <c r="D163" s="3" t="s">
        <v>21</v>
      </c>
      <c r="E163" s="3" t="s">
        <v>22</v>
      </c>
      <c r="F163" s="3">
        <v>76</v>
      </c>
      <c r="G163" s="3">
        <v>6.33</v>
      </c>
      <c r="H163" s="3">
        <v>0.06</v>
      </c>
      <c r="I163" s="3">
        <v>0.82</v>
      </c>
      <c r="J163" s="3">
        <v>4.62</v>
      </c>
      <c r="K163" s="3">
        <v>0</v>
      </c>
      <c r="L163" s="3">
        <v>24.5</v>
      </c>
      <c r="M163" s="4" t="str">
        <f t="shared" si="0"/>
        <v>Low</v>
      </c>
    </row>
    <row r="164" spans="1:13" ht="14.25" customHeight="1" x14ac:dyDescent="0.3">
      <c r="A164" s="3" t="s">
        <v>51</v>
      </c>
      <c r="B164" s="3" t="s">
        <v>15</v>
      </c>
      <c r="C164" s="3" t="s">
        <v>33</v>
      </c>
      <c r="D164" s="3" t="s">
        <v>17</v>
      </c>
      <c r="E164" s="3" t="s">
        <v>18</v>
      </c>
      <c r="F164" s="3">
        <v>57</v>
      </c>
      <c r="G164" s="3">
        <v>6.9</v>
      </c>
      <c r="H164" s="3">
        <v>0.13</v>
      </c>
      <c r="I164" s="3">
        <v>0.76</v>
      </c>
      <c r="J164" s="3">
        <v>3.93</v>
      </c>
      <c r="K164" s="3">
        <v>2</v>
      </c>
      <c r="L164" s="3">
        <v>29.35</v>
      </c>
      <c r="M164" s="4" t="str">
        <f t="shared" si="0"/>
        <v>High</v>
      </c>
    </row>
    <row r="165" spans="1:13" ht="14.25" customHeight="1" x14ac:dyDescent="0.3">
      <c r="A165" s="3" t="s">
        <v>51</v>
      </c>
      <c r="B165" s="3" t="s">
        <v>15</v>
      </c>
      <c r="C165" s="3" t="s">
        <v>33</v>
      </c>
      <c r="D165" s="3" t="s">
        <v>19</v>
      </c>
      <c r="E165" s="3" t="s">
        <v>26</v>
      </c>
      <c r="F165" s="3">
        <v>63</v>
      </c>
      <c r="G165" s="3">
        <v>7.47</v>
      </c>
      <c r="H165" s="3">
        <v>7.0000000000000007E-2</v>
      </c>
      <c r="I165" s="3">
        <v>0.81</v>
      </c>
      <c r="J165" s="3">
        <v>3.84</v>
      </c>
      <c r="K165" s="3">
        <v>1</v>
      </c>
      <c r="L165" s="3">
        <v>28.2</v>
      </c>
      <c r="M165" s="4" t="str">
        <f t="shared" si="0"/>
        <v>High</v>
      </c>
    </row>
    <row r="166" spans="1:13" ht="14.25" customHeight="1" x14ac:dyDescent="0.3">
      <c r="A166" s="3" t="s">
        <v>51</v>
      </c>
      <c r="B166" s="3" t="s">
        <v>15</v>
      </c>
      <c r="C166" s="3" t="s">
        <v>33</v>
      </c>
      <c r="D166" s="3" t="s">
        <v>21</v>
      </c>
      <c r="E166" s="3" t="s">
        <v>18</v>
      </c>
      <c r="F166" s="3">
        <v>35</v>
      </c>
      <c r="G166" s="3">
        <v>8.41</v>
      </c>
      <c r="H166" s="3">
        <v>0.09</v>
      </c>
      <c r="I166" s="3">
        <v>0.77</v>
      </c>
      <c r="J166" s="3">
        <v>4.21</v>
      </c>
      <c r="K166" s="3">
        <v>2</v>
      </c>
      <c r="L166" s="3">
        <v>31.62</v>
      </c>
      <c r="M166" s="4" t="str">
        <f t="shared" si="0"/>
        <v>High</v>
      </c>
    </row>
    <row r="167" spans="1:13" ht="14.25" customHeight="1" x14ac:dyDescent="0.3">
      <c r="A167" s="3" t="s">
        <v>51</v>
      </c>
      <c r="B167" s="3" t="s">
        <v>38</v>
      </c>
      <c r="C167" s="3" t="s">
        <v>16</v>
      </c>
      <c r="D167" s="3" t="s">
        <v>17</v>
      </c>
      <c r="E167" s="3" t="s">
        <v>26</v>
      </c>
      <c r="F167" s="3">
        <v>53</v>
      </c>
      <c r="G167" s="3">
        <v>7.54</v>
      </c>
      <c r="H167" s="3">
        <v>0.12</v>
      </c>
      <c r="I167" s="3">
        <v>0.85</v>
      </c>
      <c r="J167" s="3">
        <v>4.6100000000000003</v>
      </c>
      <c r="K167" s="3">
        <v>2</v>
      </c>
      <c r="L167" s="3">
        <v>30.31</v>
      </c>
      <c r="M167" s="4" t="str">
        <f t="shared" si="0"/>
        <v>High</v>
      </c>
    </row>
    <row r="168" spans="1:13" ht="14.25" customHeight="1" x14ac:dyDescent="0.3">
      <c r="A168" s="3" t="s">
        <v>51</v>
      </c>
      <c r="B168" s="3" t="s">
        <v>38</v>
      </c>
      <c r="C168" s="3" t="s">
        <v>16</v>
      </c>
      <c r="D168" s="3" t="s">
        <v>19</v>
      </c>
      <c r="E168" s="3" t="s">
        <v>26</v>
      </c>
      <c r="F168" s="3">
        <v>72</v>
      </c>
      <c r="G168" s="3">
        <v>7.82</v>
      </c>
      <c r="H168" s="3">
        <v>0.04</v>
      </c>
      <c r="I168" s="3">
        <v>0.88</v>
      </c>
      <c r="J168" s="3">
        <v>4.75</v>
      </c>
      <c r="K168" s="3">
        <v>0</v>
      </c>
      <c r="L168" s="3">
        <v>26.73</v>
      </c>
      <c r="M168" s="4" t="str">
        <f t="shared" si="0"/>
        <v>Low</v>
      </c>
    </row>
    <row r="169" spans="1:13" ht="14.25" customHeight="1" x14ac:dyDescent="0.3">
      <c r="A169" s="3" t="s">
        <v>51</v>
      </c>
      <c r="B169" s="3" t="s">
        <v>38</v>
      </c>
      <c r="C169" s="3" t="s">
        <v>16</v>
      </c>
      <c r="D169" s="3" t="s">
        <v>21</v>
      </c>
      <c r="E169" s="3" t="s">
        <v>26</v>
      </c>
      <c r="F169" s="3">
        <v>71</v>
      </c>
      <c r="G169" s="3">
        <v>6.87</v>
      </c>
      <c r="H169" s="3">
        <v>0.04</v>
      </c>
      <c r="I169" s="3">
        <v>0.68</v>
      </c>
      <c r="J169" s="3">
        <v>4.47</v>
      </c>
      <c r="K169" s="3">
        <v>0</v>
      </c>
      <c r="L169" s="3">
        <v>25.3</v>
      </c>
      <c r="M169" s="4" t="str">
        <f t="shared" si="0"/>
        <v>Low</v>
      </c>
    </row>
    <row r="170" spans="1:13" ht="14.25" customHeight="1" x14ac:dyDescent="0.3">
      <c r="A170" s="3" t="s">
        <v>51</v>
      </c>
      <c r="B170" s="3" t="s">
        <v>38</v>
      </c>
      <c r="C170" s="3" t="s">
        <v>24</v>
      </c>
      <c r="D170" s="3" t="s">
        <v>17</v>
      </c>
      <c r="E170" s="3" t="s">
        <v>26</v>
      </c>
      <c r="F170" s="3">
        <v>43</v>
      </c>
      <c r="G170" s="3">
        <v>6.69</v>
      </c>
      <c r="H170" s="3">
        <v>0.05</v>
      </c>
      <c r="I170" s="3">
        <v>0.76</v>
      </c>
      <c r="J170" s="3">
        <v>3.92</v>
      </c>
      <c r="K170" s="3">
        <v>0</v>
      </c>
      <c r="L170" s="3">
        <v>25.04</v>
      </c>
      <c r="M170" s="4" t="str">
        <f t="shared" si="0"/>
        <v>Low</v>
      </c>
    </row>
    <row r="171" spans="1:13" ht="14.25" customHeight="1" x14ac:dyDescent="0.3">
      <c r="A171" s="3" t="s">
        <v>51</v>
      </c>
      <c r="B171" s="3" t="s">
        <v>38</v>
      </c>
      <c r="C171" s="3" t="s">
        <v>24</v>
      </c>
      <c r="D171" s="3" t="s">
        <v>19</v>
      </c>
      <c r="E171" s="3" t="s">
        <v>22</v>
      </c>
      <c r="F171" s="3">
        <v>63</v>
      </c>
      <c r="G171" s="3">
        <v>8.36</v>
      </c>
      <c r="H171" s="3">
        <v>0.21</v>
      </c>
      <c r="I171" s="3">
        <v>0.83</v>
      </c>
      <c r="J171" s="3">
        <v>4.51</v>
      </c>
      <c r="K171" s="3">
        <v>0</v>
      </c>
      <c r="L171" s="3">
        <v>27.54</v>
      </c>
      <c r="M171" s="4" t="str">
        <f t="shared" si="0"/>
        <v>Low</v>
      </c>
    </row>
    <row r="172" spans="1:13" ht="14.25" customHeight="1" x14ac:dyDescent="0.3">
      <c r="A172" s="3" t="s">
        <v>51</v>
      </c>
      <c r="B172" s="3" t="s">
        <v>38</v>
      </c>
      <c r="C172" s="3" t="s">
        <v>24</v>
      </c>
      <c r="D172" s="3" t="s">
        <v>21</v>
      </c>
      <c r="E172" s="3" t="s">
        <v>26</v>
      </c>
      <c r="F172" s="3">
        <v>39</v>
      </c>
      <c r="G172" s="3">
        <v>8.69</v>
      </c>
      <c r="H172" s="3">
        <v>7.0000000000000007E-2</v>
      </c>
      <c r="I172" s="3">
        <v>0.64</v>
      </c>
      <c r="J172" s="3">
        <v>4.4800000000000004</v>
      </c>
      <c r="K172" s="3">
        <v>1</v>
      </c>
      <c r="L172" s="3">
        <v>30.04</v>
      </c>
      <c r="M172" s="4" t="str">
        <f t="shared" si="0"/>
        <v>High</v>
      </c>
    </row>
    <row r="173" spans="1:13" ht="14.25" customHeight="1" x14ac:dyDescent="0.3">
      <c r="A173" s="3" t="s">
        <v>51</v>
      </c>
      <c r="B173" s="3" t="s">
        <v>38</v>
      </c>
      <c r="C173" s="3" t="s">
        <v>29</v>
      </c>
      <c r="D173" s="3" t="s">
        <v>17</v>
      </c>
      <c r="E173" s="3" t="s">
        <v>22</v>
      </c>
      <c r="F173" s="3">
        <v>65</v>
      </c>
      <c r="G173" s="3">
        <v>7.26</v>
      </c>
      <c r="H173" s="3">
        <v>7.0000000000000007E-2</v>
      </c>
      <c r="I173" s="3">
        <v>0.8</v>
      </c>
      <c r="J173" s="3">
        <v>4.42</v>
      </c>
      <c r="K173" s="3">
        <v>0</v>
      </c>
      <c r="L173" s="3">
        <v>25.89</v>
      </c>
      <c r="M173" s="4" t="str">
        <f t="shared" si="0"/>
        <v>Low</v>
      </c>
    </row>
    <row r="174" spans="1:13" ht="14.25" customHeight="1" x14ac:dyDescent="0.3">
      <c r="A174" s="3" t="s">
        <v>51</v>
      </c>
      <c r="B174" s="3" t="s">
        <v>38</v>
      </c>
      <c r="C174" s="3" t="s">
        <v>29</v>
      </c>
      <c r="D174" s="3" t="s">
        <v>19</v>
      </c>
      <c r="E174" s="3" t="s">
        <v>18</v>
      </c>
      <c r="F174" s="3">
        <v>30</v>
      </c>
      <c r="G174" s="3">
        <v>6.91</v>
      </c>
      <c r="H174" s="3">
        <v>0.1</v>
      </c>
      <c r="I174" s="3">
        <v>0.84</v>
      </c>
      <c r="J174" s="3">
        <v>4</v>
      </c>
      <c r="K174" s="3">
        <v>0</v>
      </c>
      <c r="L174" s="3">
        <v>25.36</v>
      </c>
      <c r="M174" s="4" t="str">
        <f t="shared" si="0"/>
        <v>Low</v>
      </c>
    </row>
    <row r="175" spans="1:13" ht="14.25" customHeight="1" x14ac:dyDescent="0.3">
      <c r="A175" s="3" t="s">
        <v>51</v>
      </c>
      <c r="B175" s="3" t="s">
        <v>38</v>
      </c>
      <c r="C175" s="3" t="s">
        <v>29</v>
      </c>
      <c r="D175" s="3" t="s">
        <v>21</v>
      </c>
      <c r="E175" s="3" t="s">
        <v>26</v>
      </c>
      <c r="F175" s="3">
        <v>76</v>
      </c>
      <c r="G175" s="3">
        <v>9.41</v>
      </c>
      <c r="H175" s="3">
        <v>0.08</v>
      </c>
      <c r="I175" s="3">
        <v>0.79</v>
      </c>
      <c r="J175" s="3">
        <v>4.3899999999999997</v>
      </c>
      <c r="K175" s="3">
        <v>0</v>
      </c>
      <c r="L175" s="3">
        <v>29.12</v>
      </c>
      <c r="M175" s="4" t="str">
        <f t="shared" si="0"/>
        <v>High</v>
      </c>
    </row>
    <row r="176" spans="1:13" ht="14.25" customHeight="1" x14ac:dyDescent="0.3">
      <c r="A176" s="3" t="s">
        <v>51</v>
      </c>
      <c r="B176" s="3" t="s">
        <v>38</v>
      </c>
      <c r="C176" s="3" t="s">
        <v>32</v>
      </c>
      <c r="D176" s="3" t="s">
        <v>17</v>
      </c>
      <c r="E176" s="3" t="s">
        <v>22</v>
      </c>
      <c r="F176" s="3">
        <v>58</v>
      </c>
      <c r="G176" s="3">
        <v>7.59</v>
      </c>
      <c r="H176" s="3">
        <v>0.26</v>
      </c>
      <c r="I176" s="3">
        <v>0.79</v>
      </c>
      <c r="J176" s="3">
        <v>4.59</v>
      </c>
      <c r="K176" s="3">
        <v>1</v>
      </c>
      <c r="L176" s="3">
        <v>28.38</v>
      </c>
      <c r="M176" s="4" t="str">
        <f t="shared" si="0"/>
        <v>High</v>
      </c>
    </row>
    <row r="177" spans="1:13" ht="14.25" customHeight="1" x14ac:dyDescent="0.3">
      <c r="A177" s="3" t="s">
        <v>51</v>
      </c>
      <c r="B177" s="3" t="s">
        <v>38</v>
      </c>
      <c r="C177" s="3" t="s">
        <v>32</v>
      </c>
      <c r="D177" s="3" t="s">
        <v>19</v>
      </c>
      <c r="E177" s="3" t="s">
        <v>22</v>
      </c>
      <c r="F177" s="3">
        <v>40</v>
      </c>
      <c r="G177" s="3">
        <v>8.67</v>
      </c>
      <c r="H177" s="3">
        <v>0.12</v>
      </c>
      <c r="I177" s="3">
        <v>0.89</v>
      </c>
      <c r="J177" s="3">
        <v>3.7</v>
      </c>
      <c r="K177" s="3">
        <v>0</v>
      </c>
      <c r="L177" s="3">
        <v>28</v>
      </c>
      <c r="M177" s="4" t="str">
        <f t="shared" si="0"/>
        <v>High</v>
      </c>
    </row>
    <row r="178" spans="1:13" ht="14.25" customHeight="1" x14ac:dyDescent="0.3">
      <c r="A178" s="3" t="s">
        <v>51</v>
      </c>
      <c r="B178" s="3" t="s">
        <v>38</v>
      </c>
      <c r="C178" s="3" t="s">
        <v>32</v>
      </c>
      <c r="D178" s="3" t="s">
        <v>21</v>
      </c>
      <c r="E178" s="3" t="s">
        <v>26</v>
      </c>
      <c r="F178" s="3">
        <v>45</v>
      </c>
      <c r="G178" s="3">
        <v>7.16</v>
      </c>
      <c r="H178" s="3">
        <v>0.06</v>
      </c>
      <c r="I178" s="3">
        <v>0.68</v>
      </c>
      <c r="J178" s="3">
        <v>4.4400000000000004</v>
      </c>
      <c r="K178" s="3">
        <v>1</v>
      </c>
      <c r="L178" s="3">
        <v>27.74</v>
      </c>
      <c r="M178" s="4" t="str">
        <f t="shared" si="0"/>
        <v>High</v>
      </c>
    </row>
    <row r="179" spans="1:13" ht="14.25" customHeight="1" x14ac:dyDescent="0.3">
      <c r="A179" s="3" t="s">
        <v>51</v>
      </c>
      <c r="B179" s="3" t="s">
        <v>38</v>
      </c>
      <c r="C179" s="3" t="s">
        <v>33</v>
      </c>
      <c r="D179" s="3" t="s">
        <v>17</v>
      </c>
      <c r="E179" s="3" t="s">
        <v>22</v>
      </c>
      <c r="F179" s="3">
        <v>78</v>
      </c>
      <c r="G179" s="3">
        <v>9.0500000000000007</v>
      </c>
      <c r="H179" s="3">
        <v>0.21</v>
      </c>
      <c r="I179" s="3">
        <v>0.81</v>
      </c>
      <c r="J179" s="3">
        <v>4.62</v>
      </c>
      <c r="K179" s="3">
        <v>0</v>
      </c>
      <c r="L179" s="3">
        <v>28.58</v>
      </c>
      <c r="M179" s="4" t="str">
        <f t="shared" si="0"/>
        <v>High</v>
      </c>
    </row>
    <row r="180" spans="1:13" ht="14.25" customHeight="1" x14ac:dyDescent="0.3">
      <c r="A180" s="3" t="s">
        <v>51</v>
      </c>
      <c r="B180" s="3" t="s">
        <v>38</v>
      </c>
      <c r="C180" s="3" t="s">
        <v>33</v>
      </c>
      <c r="D180" s="3" t="s">
        <v>19</v>
      </c>
      <c r="E180" s="3" t="s">
        <v>26</v>
      </c>
      <c r="F180" s="3">
        <v>75</v>
      </c>
      <c r="G180" s="3">
        <v>7.34</v>
      </c>
      <c r="H180" s="3">
        <v>0.09</v>
      </c>
      <c r="I180" s="3">
        <v>0.75</v>
      </c>
      <c r="J180" s="3">
        <v>4.54</v>
      </c>
      <c r="K180" s="3">
        <v>0</v>
      </c>
      <c r="L180" s="3">
        <v>26.01</v>
      </c>
      <c r="M180" s="4" t="str">
        <f t="shared" si="0"/>
        <v>Low</v>
      </c>
    </row>
    <row r="181" spans="1:13" ht="14.25" customHeight="1" x14ac:dyDescent="0.3">
      <c r="A181" s="3" t="s">
        <v>51</v>
      </c>
      <c r="B181" s="3" t="s">
        <v>38</v>
      </c>
      <c r="C181" s="3" t="s">
        <v>33</v>
      </c>
      <c r="D181" s="3" t="s">
        <v>21</v>
      </c>
      <c r="E181" s="3" t="s">
        <v>26</v>
      </c>
      <c r="F181" s="3">
        <v>32</v>
      </c>
      <c r="G181" s="3">
        <v>6.31</v>
      </c>
      <c r="H181" s="3">
        <v>0.04</v>
      </c>
      <c r="I181" s="3">
        <v>0.72</v>
      </c>
      <c r="J181" s="3">
        <v>3.5</v>
      </c>
      <c r="K181" s="3">
        <v>0</v>
      </c>
      <c r="L181" s="3">
        <v>24.46</v>
      </c>
      <c r="M181" s="4" t="str">
        <f t="shared" si="0"/>
        <v>Low</v>
      </c>
    </row>
    <row r="182" spans="1:13" ht="14.25" customHeight="1" x14ac:dyDescent="0.3">
      <c r="A182" s="3" t="s">
        <v>51</v>
      </c>
      <c r="B182" s="3" t="s">
        <v>43</v>
      </c>
      <c r="C182" s="3" t="s">
        <v>16</v>
      </c>
      <c r="D182" s="3" t="s">
        <v>17</v>
      </c>
      <c r="E182" s="3" t="s">
        <v>18</v>
      </c>
      <c r="F182" s="3">
        <v>49</v>
      </c>
      <c r="G182" s="3">
        <v>6.14</v>
      </c>
      <c r="H182" s="3">
        <v>0.08</v>
      </c>
      <c r="I182" s="3">
        <v>0.76</v>
      </c>
      <c r="J182" s="3">
        <v>4.26</v>
      </c>
      <c r="K182" s="3">
        <v>0</v>
      </c>
      <c r="L182" s="3">
        <v>24.21</v>
      </c>
      <c r="M182" s="4" t="str">
        <f t="shared" si="0"/>
        <v>Low</v>
      </c>
    </row>
    <row r="183" spans="1:13" ht="14.25" customHeight="1" x14ac:dyDescent="0.3">
      <c r="A183" s="3" t="s">
        <v>51</v>
      </c>
      <c r="B183" s="3" t="s">
        <v>43</v>
      </c>
      <c r="C183" s="3" t="s">
        <v>16</v>
      </c>
      <c r="D183" s="3" t="s">
        <v>19</v>
      </c>
      <c r="E183" s="3" t="s">
        <v>26</v>
      </c>
      <c r="F183" s="3">
        <v>40</v>
      </c>
      <c r="G183" s="3">
        <v>7.18</v>
      </c>
      <c r="H183" s="3">
        <v>0.15</v>
      </c>
      <c r="I183" s="3">
        <v>0.77</v>
      </c>
      <c r="J183" s="3">
        <v>4.0999999999999996</v>
      </c>
      <c r="K183" s="3">
        <v>1</v>
      </c>
      <c r="L183" s="3">
        <v>27.77</v>
      </c>
      <c r="M183" s="4" t="str">
        <f t="shared" si="0"/>
        <v>High</v>
      </c>
    </row>
    <row r="184" spans="1:13" ht="14.25" customHeight="1" x14ac:dyDescent="0.3">
      <c r="A184" s="3" t="s">
        <v>51</v>
      </c>
      <c r="B184" s="3" t="s">
        <v>43</v>
      </c>
      <c r="C184" s="3" t="s">
        <v>16</v>
      </c>
      <c r="D184" s="3" t="s">
        <v>21</v>
      </c>
      <c r="E184" s="3" t="s">
        <v>18</v>
      </c>
      <c r="F184" s="3">
        <v>76</v>
      </c>
      <c r="G184" s="3">
        <v>5.92</v>
      </c>
      <c r="H184" s="3">
        <v>0.11</v>
      </c>
      <c r="I184" s="3">
        <v>0.82</v>
      </c>
      <c r="J184" s="3">
        <v>4.51</v>
      </c>
      <c r="K184" s="3">
        <v>0</v>
      </c>
      <c r="L184" s="3">
        <v>23.88</v>
      </c>
      <c r="M184" s="4" t="str">
        <f t="shared" si="0"/>
        <v>Low</v>
      </c>
    </row>
    <row r="185" spans="1:13" ht="14.25" customHeight="1" x14ac:dyDescent="0.3">
      <c r="A185" s="3" t="s">
        <v>51</v>
      </c>
      <c r="B185" s="3" t="s">
        <v>43</v>
      </c>
      <c r="C185" s="3" t="s">
        <v>24</v>
      </c>
      <c r="D185" s="3" t="s">
        <v>17</v>
      </c>
      <c r="E185" s="3" t="s">
        <v>18</v>
      </c>
      <c r="F185" s="3">
        <v>53</v>
      </c>
      <c r="G185" s="3">
        <v>8.26</v>
      </c>
      <c r="H185" s="3">
        <v>0.04</v>
      </c>
      <c r="I185" s="3">
        <v>0.77</v>
      </c>
      <c r="J185" s="3">
        <v>4.24</v>
      </c>
      <c r="K185" s="3">
        <v>0</v>
      </c>
      <c r="L185" s="3">
        <v>27.39</v>
      </c>
      <c r="M185" s="4" t="str">
        <f t="shared" si="0"/>
        <v>Low</v>
      </c>
    </row>
    <row r="186" spans="1:13" ht="14.25" customHeight="1" x14ac:dyDescent="0.3">
      <c r="A186" s="3" t="s">
        <v>51</v>
      </c>
      <c r="B186" s="3" t="s">
        <v>43</v>
      </c>
      <c r="C186" s="3" t="s">
        <v>24</v>
      </c>
      <c r="D186" s="3" t="s">
        <v>19</v>
      </c>
      <c r="E186" s="3" t="s">
        <v>18</v>
      </c>
      <c r="F186" s="3">
        <v>57</v>
      </c>
      <c r="G186" s="3">
        <v>8.02</v>
      </c>
      <c r="H186" s="3">
        <v>0.02</v>
      </c>
      <c r="I186" s="3">
        <v>0.8</v>
      </c>
      <c r="J186" s="3">
        <v>4.17</v>
      </c>
      <c r="K186" s="3">
        <v>0</v>
      </c>
      <c r="L186" s="3">
        <v>27.03</v>
      </c>
      <c r="M186" s="4" t="str">
        <f t="shared" si="0"/>
        <v>Low</v>
      </c>
    </row>
    <row r="187" spans="1:13" ht="14.25" customHeight="1" x14ac:dyDescent="0.3">
      <c r="A187" s="3" t="s">
        <v>51</v>
      </c>
      <c r="B187" s="3" t="s">
        <v>43</v>
      </c>
      <c r="C187" s="3" t="s">
        <v>24</v>
      </c>
      <c r="D187" s="3" t="s">
        <v>21</v>
      </c>
      <c r="E187" s="3" t="s">
        <v>18</v>
      </c>
      <c r="F187" s="3">
        <v>62</v>
      </c>
      <c r="G187" s="3">
        <v>9.2799999999999994</v>
      </c>
      <c r="H187" s="3">
        <v>0.13</v>
      </c>
      <c r="I187" s="3">
        <v>0.69</v>
      </c>
      <c r="J187" s="3">
        <v>3.92</v>
      </c>
      <c r="K187" s="3">
        <v>3</v>
      </c>
      <c r="L187" s="3">
        <v>34.92</v>
      </c>
      <c r="M187" s="4" t="str">
        <f t="shared" si="0"/>
        <v>High</v>
      </c>
    </row>
    <row r="188" spans="1:13" ht="14.25" customHeight="1" x14ac:dyDescent="0.3">
      <c r="A188" s="3" t="s">
        <v>51</v>
      </c>
      <c r="B188" s="3" t="s">
        <v>43</v>
      </c>
      <c r="C188" s="3" t="s">
        <v>29</v>
      </c>
      <c r="D188" s="3" t="s">
        <v>17</v>
      </c>
      <c r="E188" s="3" t="s">
        <v>22</v>
      </c>
      <c r="F188" s="3">
        <v>79</v>
      </c>
      <c r="G188" s="3">
        <v>7.85</v>
      </c>
      <c r="H188" s="3">
        <v>0.08</v>
      </c>
      <c r="I188" s="3">
        <v>0.88</v>
      </c>
      <c r="J188" s="3">
        <v>4.2699999999999996</v>
      </c>
      <c r="K188" s="3">
        <v>1</v>
      </c>
      <c r="L188" s="3">
        <v>28.78</v>
      </c>
      <c r="M188" s="4" t="str">
        <f t="shared" si="0"/>
        <v>High</v>
      </c>
    </row>
    <row r="189" spans="1:13" ht="14.25" customHeight="1" x14ac:dyDescent="0.3">
      <c r="A189" s="3" t="s">
        <v>51</v>
      </c>
      <c r="B189" s="3" t="s">
        <v>43</v>
      </c>
      <c r="C189" s="3" t="s">
        <v>29</v>
      </c>
      <c r="D189" s="3" t="s">
        <v>19</v>
      </c>
      <c r="E189" s="3" t="s">
        <v>18</v>
      </c>
      <c r="F189" s="3">
        <v>70</v>
      </c>
      <c r="G189" s="3">
        <v>7.63</v>
      </c>
      <c r="H189" s="3">
        <v>0.11</v>
      </c>
      <c r="I189" s="3">
        <v>0.88</v>
      </c>
      <c r="J189" s="3">
        <v>4.43</v>
      </c>
      <c r="K189" s="3">
        <v>2</v>
      </c>
      <c r="L189" s="3">
        <v>30.44</v>
      </c>
      <c r="M189" s="4" t="str">
        <f t="shared" si="0"/>
        <v>High</v>
      </c>
    </row>
    <row r="190" spans="1:13" ht="14.25" customHeight="1" x14ac:dyDescent="0.3">
      <c r="A190" s="3" t="s">
        <v>51</v>
      </c>
      <c r="B190" s="3" t="s">
        <v>43</v>
      </c>
      <c r="C190" s="3" t="s">
        <v>29</v>
      </c>
      <c r="D190" s="3" t="s">
        <v>21</v>
      </c>
      <c r="E190" s="3" t="s">
        <v>18</v>
      </c>
      <c r="F190" s="3">
        <v>36</v>
      </c>
      <c r="G190" s="3">
        <v>8.15</v>
      </c>
      <c r="H190" s="3">
        <v>0.1</v>
      </c>
      <c r="I190" s="3">
        <v>0.8</v>
      </c>
      <c r="J190" s="3">
        <v>4.13</v>
      </c>
      <c r="K190" s="3">
        <v>0</v>
      </c>
      <c r="L190" s="3">
        <v>27.22</v>
      </c>
      <c r="M190" s="4" t="str">
        <f t="shared" si="0"/>
        <v>Low</v>
      </c>
    </row>
    <row r="191" spans="1:13" ht="14.25" customHeight="1" x14ac:dyDescent="0.3">
      <c r="A191" s="3" t="s">
        <v>51</v>
      </c>
      <c r="B191" s="3" t="s">
        <v>43</v>
      </c>
      <c r="C191" s="3" t="s">
        <v>32</v>
      </c>
      <c r="D191" s="3" t="s">
        <v>17</v>
      </c>
      <c r="E191" s="3" t="s">
        <v>22</v>
      </c>
      <c r="F191" s="3">
        <v>43</v>
      </c>
      <c r="G191" s="3">
        <v>9.48</v>
      </c>
      <c r="H191" s="3">
        <v>7.0000000000000007E-2</v>
      </c>
      <c r="I191" s="3">
        <v>0.76</v>
      </c>
      <c r="J191" s="3">
        <v>3.82</v>
      </c>
      <c r="K191" s="3">
        <v>0</v>
      </c>
      <c r="L191" s="3">
        <v>29.22</v>
      </c>
      <c r="M191" s="4" t="str">
        <f t="shared" si="0"/>
        <v>High</v>
      </c>
    </row>
    <row r="192" spans="1:13" ht="14.25" customHeight="1" x14ac:dyDescent="0.3">
      <c r="A192" s="3" t="s">
        <v>51</v>
      </c>
      <c r="B192" s="3" t="s">
        <v>43</v>
      </c>
      <c r="C192" s="3" t="s">
        <v>32</v>
      </c>
      <c r="D192" s="3" t="s">
        <v>19</v>
      </c>
      <c r="E192" s="3" t="s">
        <v>26</v>
      </c>
      <c r="F192" s="3">
        <v>48</v>
      </c>
      <c r="G192" s="3">
        <v>8.02</v>
      </c>
      <c r="H192" s="3">
        <v>0.11</v>
      </c>
      <c r="I192" s="3">
        <v>0.82</v>
      </c>
      <c r="J192" s="3">
        <v>4.22</v>
      </c>
      <c r="K192" s="3">
        <v>1</v>
      </c>
      <c r="L192" s="3">
        <v>29.03</v>
      </c>
      <c r="M192" s="4" t="str">
        <f t="shared" si="0"/>
        <v>High</v>
      </c>
    </row>
    <row r="193" spans="1:13" ht="14.25" customHeight="1" x14ac:dyDescent="0.3">
      <c r="A193" s="3" t="s">
        <v>51</v>
      </c>
      <c r="B193" s="3" t="s">
        <v>43</v>
      </c>
      <c r="C193" s="3" t="s">
        <v>32</v>
      </c>
      <c r="D193" s="3" t="s">
        <v>21</v>
      </c>
      <c r="E193" s="3" t="s">
        <v>22</v>
      </c>
      <c r="F193" s="3">
        <v>61</v>
      </c>
      <c r="G193" s="3">
        <v>6.93</v>
      </c>
      <c r="H193" s="3">
        <v>0.19</v>
      </c>
      <c r="I193" s="3">
        <v>0.72</v>
      </c>
      <c r="J193" s="3">
        <v>3.61</v>
      </c>
      <c r="K193" s="3">
        <v>0</v>
      </c>
      <c r="L193" s="3">
        <v>25.4</v>
      </c>
      <c r="M193" s="4" t="str">
        <f t="shared" si="0"/>
        <v>Low</v>
      </c>
    </row>
    <row r="194" spans="1:13" ht="14.25" customHeight="1" x14ac:dyDescent="0.3">
      <c r="A194" s="3" t="s">
        <v>51</v>
      </c>
      <c r="B194" s="3" t="s">
        <v>43</v>
      </c>
      <c r="C194" s="3" t="s">
        <v>33</v>
      </c>
      <c r="D194" s="3" t="s">
        <v>17</v>
      </c>
      <c r="E194" s="3" t="s">
        <v>22</v>
      </c>
      <c r="F194" s="3">
        <v>44</v>
      </c>
      <c r="G194" s="3">
        <v>7.24</v>
      </c>
      <c r="H194" s="3">
        <v>0.27</v>
      </c>
      <c r="I194" s="3">
        <v>0.86</v>
      </c>
      <c r="J194" s="3">
        <v>4.47</v>
      </c>
      <c r="K194" s="3">
        <v>0</v>
      </c>
      <c r="L194" s="3">
        <v>25.86</v>
      </c>
      <c r="M194" s="4" t="str">
        <f t="shared" si="0"/>
        <v>Low</v>
      </c>
    </row>
    <row r="195" spans="1:13" ht="14.25" customHeight="1" x14ac:dyDescent="0.3">
      <c r="A195" s="3" t="s">
        <v>51</v>
      </c>
      <c r="B195" s="3" t="s">
        <v>43</v>
      </c>
      <c r="C195" s="3" t="s">
        <v>33</v>
      </c>
      <c r="D195" s="3" t="s">
        <v>19</v>
      </c>
      <c r="E195" s="3" t="s">
        <v>18</v>
      </c>
      <c r="F195" s="3">
        <v>73</v>
      </c>
      <c r="G195" s="3">
        <v>5.83</v>
      </c>
      <c r="H195" s="3">
        <v>0.12</v>
      </c>
      <c r="I195" s="3">
        <v>0.83</v>
      </c>
      <c r="J195" s="3">
        <v>4.21</v>
      </c>
      <c r="K195" s="3">
        <v>0</v>
      </c>
      <c r="L195" s="3">
        <v>23.74</v>
      </c>
      <c r="M195" s="4" t="str">
        <f t="shared" si="0"/>
        <v>Low</v>
      </c>
    </row>
    <row r="196" spans="1:13" ht="14.25" customHeight="1" x14ac:dyDescent="0.3">
      <c r="A196" s="3" t="s">
        <v>51</v>
      </c>
      <c r="B196" s="3" t="s">
        <v>43</v>
      </c>
      <c r="C196" s="3" t="s">
        <v>33</v>
      </c>
      <c r="D196" s="3" t="s">
        <v>21</v>
      </c>
      <c r="E196" s="3" t="s">
        <v>18</v>
      </c>
      <c r="F196" s="3">
        <v>63</v>
      </c>
      <c r="G196" s="3">
        <v>8.58</v>
      </c>
      <c r="H196" s="3">
        <v>0.14000000000000001</v>
      </c>
      <c r="I196" s="3">
        <v>0.71</v>
      </c>
      <c r="J196" s="3">
        <v>3.86</v>
      </c>
      <c r="K196" s="3">
        <v>0</v>
      </c>
      <c r="L196" s="3">
        <v>27.87</v>
      </c>
      <c r="M196" s="4" t="str">
        <f t="shared" si="0"/>
        <v>High</v>
      </c>
    </row>
    <row r="197" spans="1:13" ht="14.25" customHeight="1" x14ac:dyDescent="0.3">
      <c r="A197" s="3" t="s">
        <v>51</v>
      </c>
      <c r="B197" s="3" t="s">
        <v>44</v>
      </c>
      <c r="C197" s="3" t="s">
        <v>16</v>
      </c>
      <c r="D197" s="3" t="s">
        <v>17</v>
      </c>
      <c r="E197" s="3" t="s">
        <v>26</v>
      </c>
      <c r="F197" s="3">
        <v>41</v>
      </c>
      <c r="G197" s="3">
        <v>7.46</v>
      </c>
      <c r="H197" s="3">
        <v>7.0000000000000007E-2</v>
      </c>
      <c r="I197" s="3">
        <v>0.82</v>
      </c>
      <c r="J197" s="3">
        <v>4.59</v>
      </c>
      <c r="K197" s="3">
        <v>0</v>
      </c>
      <c r="L197" s="3">
        <v>26.19</v>
      </c>
      <c r="M197" s="4" t="str">
        <f t="shared" si="0"/>
        <v>Low</v>
      </c>
    </row>
    <row r="198" spans="1:13" ht="14.25" customHeight="1" x14ac:dyDescent="0.3">
      <c r="A198" s="3" t="s">
        <v>51</v>
      </c>
      <c r="B198" s="3" t="s">
        <v>44</v>
      </c>
      <c r="C198" s="3" t="s">
        <v>16</v>
      </c>
      <c r="D198" s="3" t="s">
        <v>19</v>
      </c>
      <c r="E198" s="3" t="s">
        <v>26</v>
      </c>
      <c r="F198" s="3">
        <v>65</v>
      </c>
      <c r="G198" s="3">
        <v>7.82</v>
      </c>
      <c r="H198" s="3">
        <v>0.08</v>
      </c>
      <c r="I198" s="3">
        <v>0.79</v>
      </c>
      <c r="J198" s="3">
        <v>4.63</v>
      </c>
      <c r="K198" s="3">
        <v>0</v>
      </c>
      <c r="L198" s="3">
        <v>26.73</v>
      </c>
      <c r="M198" s="4" t="str">
        <f t="shared" si="0"/>
        <v>Low</v>
      </c>
    </row>
    <row r="199" spans="1:13" ht="14.25" customHeight="1" x14ac:dyDescent="0.3">
      <c r="A199" s="3" t="s">
        <v>51</v>
      </c>
      <c r="B199" s="3" t="s">
        <v>44</v>
      </c>
      <c r="C199" s="3" t="s">
        <v>16</v>
      </c>
      <c r="D199" s="3" t="s">
        <v>21</v>
      </c>
      <c r="E199" s="3" t="s">
        <v>18</v>
      </c>
      <c r="F199" s="3">
        <v>54</v>
      </c>
      <c r="G199" s="3">
        <v>7.21</v>
      </c>
      <c r="H199" s="3">
        <v>0.11</v>
      </c>
      <c r="I199" s="3">
        <v>0.62</v>
      </c>
      <c r="J199" s="3">
        <v>4.3499999999999996</v>
      </c>
      <c r="K199" s="3">
        <v>0</v>
      </c>
      <c r="L199" s="3">
        <v>25.82</v>
      </c>
      <c r="M199" s="4" t="str">
        <f t="shared" si="0"/>
        <v>Low</v>
      </c>
    </row>
    <row r="200" spans="1:13" ht="14.25" customHeight="1" x14ac:dyDescent="0.3">
      <c r="A200" s="3" t="s">
        <v>51</v>
      </c>
      <c r="B200" s="3" t="s">
        <v>44</v>
      </c>
      <c r="C200" s="3" t="s">
        <v>24</v>
      </c>
      <c r="D200" s="3" t="s">
        <v>17</v>
      </c>
      <c r="E200" s="3" t="s">
        <v>18</v>
      </c>
      <c r="F200" s="3">
        <v>64</v>
      </c>
      <c r="G200" s="3">
        <v>6.21</v>
      </c>
      <c r="H200" s="3">
        <v>0.12</v>
      </c>
      <c r="I200" s="3">
        <v>0.77</v>
      </c>
      <c r="J200" s="3">
        <v>4.76</v>
      </c>
      <c r="K200" s="3">
        <v>0</v>
      </c>
      <c r="L200" s="3">
        <v>24.32</v>
      </c>
      <c r="M200" s="4" t="str">
        <f t="shared" si="0"/>
        <v>Low</v>
      </c>
    </row>
    <row r="201" spans="1:13" ht="14.25" customHeight="1" x14ac:dyDescent="0.3">
      <c r="A201" s="3" t="s">
        <v>51</v>
      </c>
      <c r="B201" s="3" t="s">
        <v>44</v>
      </c>
      <c r="C201" s="3" t="s">
        <v>24</v>
      </c>
      <c r="D201" s="3" t="s">
        <v>19</v>
      </c>
      <c r="E201" s="3" t="s">
        <v>22</v>
      </c>
      <c r="F201" s="3">
        <v>32</v>
      </c>
      <c r="G201" s="3">
        <v>8.66</v>
      </c>
      <c r="H201" s="3">
        <v>0.16</v>
      </c>
      <c r="I201" s="3">
        <v>0.8</v>
      </c>
      <c r="J201" s="3">
        <v>4.08</v>
      </c>
      <c r="K201" s="3">
        <v>1</v>
      </c>
      <c r="L201" s="3">
        <v>29.99</v>
      </c>
      <c r="M201" s="4" t="str">
        <f t="shared" si="0"/>
        <v>High</v>
      </c>
    </row>
    <row r="202" spans="1:13" ht="14.25" customHeight="1" x14ac:dyDescent="0.3">
      <c r="A202" s="3" t="s">
        <v>51</v>
      </c>
      <c r="B202" s="3" t="s">
        <v>44</v>
      </c>
      <c r="C202" s="3" t="s">
        <v>24</v>
      </c>
      <c r="D202" s="3" t="s">
        <v>21</v>
      </c>
      <c r="E202" s="3" t="s">
        <v>22</v>
      </c>
      <c r="F202" s="3">
        <v>34</v>
      </c>
      <c r="G202" s="3">
        <v>8.15</v>
      </c>
      <c r="H202" s="3">
        <v>0.23</v>
      </c>
      <c r="I202" s="3">
        <v>0.64</v>
      </c>
      <c r="J202" s="3">
        <v>3.72</v>
      </c>
      <c r="K202" s="3">
        <v>0</v>
      </c>
      <c r="L202" s="3">
        <v>27.22</v>
      </c>
      <c r="M202" s="4" t="str">
        <f t="shared" si="0"/>
        <v>Low</v>
      </c>
    </row>
    <row r="203" spans="1:13" ht="14.25" customHeight="1" x14ac:dyDescent="0.3">
      <c r="A203" s="3" t="s">
        <v>51</v>
      </c>
      <c r="B203" s="3" t="s">
        <v>44</v>
      </c>
      <c r="C203" s="3" t="s">
        <v>29</v>
      </c>
      <c r="D203" s="3" t="s">
        <v>17</v>
      </c>
      <c r="E203" s="3" t="s">
        <v>26</v>
      </c>
      <c r="F203" s="3">
        <v>66</v>
      </c>
      <c r="G203" s="3">
        <v>6.11</v>
      </c>
      <c r="H203" s="3">
        <v>0.09</v>
      </c>
      <c r="I203" s="3">
        <v>0.87</v>
      </c>
      <c r="J203" s="3">
        <v>4.42</v>
      </c>
      <c r="K203" s="3">
        <v>0</v>
      </c>
      <c r="L203" s="3">
        <v>24.16</v>
      </c>
      <c r="M203" s="4" t="str">
        <f t="shared" si="0"/>
        <v>Low</v>
      </c>
    </row>
    <row r="204" spans="1:13" ht="14.25" customHeight="1" x14ac:dyDescent="0.3">
      <c r="A204" s="3" t="s">
        <v>51</v>
      </c>
      <c r="B204" s="3" t="s">
        <v>44</v>
      </c>
      <c r="C204" s="3" t="s">
        <v>29</v>
      </c>
      <c r="D204" s="3" t="s">
        <v>19</v>
      </c>
      <c r="E204" s="3" t="s">
        <v>26</v>
      </c>
      <c r="F204" s="3">
        <v>35</v>
      </c>
      <c r="G204" s="3">
        <v>7.24</v>
      </c>
      <c r="H204" s="3">
        <v>0.06</v>
      </c>
      <c r="I204" s="3">
        <v>0.76</v>
      </c>
      <c r="J204" s="3">
        <v>4.1900000000000004</v>
      </c>
      <c r="K204" s="3">
        <v>2</v>
      </c>
      <c r="L204" s="3">
        <v>29.86</v>
      </c>
      <c r="M204" s="4" t="str">
        <f t="shared" si="0"/>
        <v>High</v>
      </c>
    </row>
    <row r="205" spans="1:13" ht="14.25" customHeight="1" x14ac:dyDescent="0.3">
      <c r="A205" s="3" t="s">
        <v>51</v>
      </c>
      <c r="B205" s="3" t="s">
        <v>44</v>
      </c>
      <c r="C205" s="3" t="s">
        <v>29</v>
      </c>
      <c r="D205" s="3" t="s">
        <v>21</v>
      </c>
      <c r="E205" s="3" t="s">
        <v>22</v>
      </c>
      <c r="F205" s="3">
        <v>64</v>
      </c>
      <c r="G205" s="3">
        <v>7.3</v>
      </c>
      <c r="H205" s="3">
        <v>0.16</v>
      </c>
      <c r="I205" s="3">
        <v>0.83</v>
      </c>
      <c r="J205" s="3">
        <v>3.91</v>
      </c>
      <c r="K205" s="3">
        <v>0</v>
      </c>
      <c r="L205" s="3">
        <v>25.95</v>
      </c>
      <c r="M205" s="4" t="str">
        <f t="shared" si="0"/>
        <v>Low</v>
      </c>
    </row>
    <row r="206" spans="1:13" ht="14.25" customHeight="1" x14ac:dyDescent="0.3">
      <c r="A206" s="3" t="s">
        <v>51</v>
      </c>
      <c r="B206" s="3" t="s">
        <v>44</v>
      </c>
      <c r="C206" s="3" t="s">
        <v>32</v>
      </c>
      <c r="D206" s="3" t="s">
        <v>17</v>
      </c>
      <c r="E206" s="3" t="s">
        <v>22</v>
      </c>
      <c r="F206" s="3">
        <v>71</v>
      </c>
      <c r="G206" s="3">
        <v>7.02</v>
      </c>
      <c r="H206" s="3">
        <v>0.22</v>
      </c>
      <c r="I206" s="3">
        <v>0.75</v>
      </c>
      <c r="J206" s="3">
        <v>3.92</v>
      </c>
      <c r="K206" s="3">
        <v>3</v>
      </c>
      <c r="L206" s="3">
        <v>31.53</v>
      </c>
      <c r="M206" s="4" t="str">
        <f t="shared" si="0"/>
        <v>High</v>
      </c>
    </row>
    <row r="207" spans="1:13" ht="14.25" customHeight="1" x14ac:dyDescent="0.3">
      <c r="A207" s="3" t="s">
        <v>51</v>
      </c>
      <c r="B207" s="3" t="s">
        <v>44</v>
      </c>
      <c r="C207" s="3" t="s">
        <v>32</v>
      </c>
      <c r="D207" s="3" t="s">
        <v>19</v>
      </c>
      <c r="E207" s="3" t="s">
        <v>18</v>
      </c>
      <c r="F207" s="3">
        <v>76</v>
      </c>
      <c r="G207" s="3">
        <v>5.04</v>
      </c>
      <c r="H207" s="3">
        <v>0.09</v>
      </c>
      <c r="I207" s="3">
        <v>0.8</v>
      </c>
      <c r="J207" s="3">
        <v>4.1900000000000004</v>
      </c>
      <c r="K207" s="3">
        <v>0</v>
      </c>
      <c r="L207" s="3">
        <v>22.56</v>
      </c>
      <c r="M207" s="4" t="str">
        <f t="shared" si="0"/>
        <v>Low</v>
      </c>
    </row>
    <row r="208" spans="1:13" ht="14.25" customHeight="1" x14ac:dyDescent="0.3">
      <c r="A208" s="3" t="s">
        <v>51</v>
      </c>
      <c r="B208" s="3" t="s">
        <v>44</v>
      </c>
      <c r="C208" s="3" t="s">
        <v>32</v>
      </c>
      <c r="D208" s="3" t="s">
        <v>21</v>
      </c>
      <c r="E208" s="3" t="s">
        <v>22</v>
      </c>
      <c r="F208" s="3">
        <v>45</v>
      </c>
      <c r="G208" s="3">
        <v>7.56</v>
      </c>
      <c r="H208" s="3">
        <v>0.09</v>
      </c>
      <c r="I208" s="3">
        <v>0.65</v>
      </c>
      <c r="J208" s="3">
        <v>4.45</v>
      </c>
      <c r="K208" s="3">
        <v>0</v>
      </c>
      <c r="L208" s="3">
        <v>26.34</v>
      </c>
      <c r="M208" s="4" t="str">
        <f t="shared" si="0"/>
        <v>Low</v>
      </c>
    </row>
    <row r="209" spans="1:13" ht="14.25" customHeight="1" x14ac:dyDescent="0.3">
      <c r="A209" s="3" t="s">
        <v>51</v>
      </c>
      <c r="B209" s="3" t="s">
        <v>44</v>
      </c>
      <c r="C209" s="3" t="s">
        <v>33</v>
      </c>
      <c r="D209" s="3" t="s">
        <v>17</v>
      </c>
      <c r="E209" s="3" t="s">
        <v>22</v>
      </c>
      <c r="F209" s="3">
        <v>76</v>
      </c>
      <c r="G209" s="3">
        <v>7.62</v>
      </c>
      <c r="H209" s="3">
        <v>0.09</v>
      </c>
      <c r="I209" s="3">
        <v>0.85</v>
      </c>
      <c r="J209" s="3">
        <v>4.59</v>
      </c>
      <c r="K209" s="3">
        <v>2</v>
      </c>
      <c r="L209" s="3">
        <v>30.43</v>
      </c>
      <c r="M209" s="4" t="str">
        <f t="shared" si="0"/>
        <v>High</v>
      </c>
    </row>
    <row r="210" spans="1:13" ht="14.25" customHeight="1" x14ac:dyDescent="0.3">
      <c r="A210" s="3" t="s">
        <v>51</v>
      </c>
      <c r="B210" s="3" t="s">
        <v>44</v>
      </c>
      <c r="C210" s="3" t="s">
        <v>33</v>
      </c>
      <c r="D210" s="3" t="s">
        <v>19</v>
      </c>
      <c r="E210" s="3" t="s">
        <v>18</v>
      </c>
      <c r="F210" s="3">
        <v>79</v>
      </c>
      <c r="G210" s="3">
        <v>8.17</v>
      </c>
      <c r="H210" s="3">
        <v>0.13</v>
      </c>
      <c r="I210" s="3">
        <v>0.87</v>
      </c>
      <c r="J210" s="3">
        <v>3.65</v>
      </c>
      <c r="K210" s="3">
        <v>1</v>
      </c>
      <c r="L210" s="3">
        <v>29.26</v>
      </c>
      <c r="M210" s="4" t="str">
        <f t="shared" si="0"/>
        <v>High</v>
      </c>
    </row>
    <row r="211" spans="1:13" ht="14.25" customHeight="1" x14ac:dyDescent="0.3">
      <c r="A211" s="3" t="s">
        <v>51</v>
      </c>
      <c r="B211" s="3" t="s">
        <v>44</v>
      </c>
      <c r="C211" s="3" t="s">
        <v>33</v>
      </c>
      <c r="D211" s="3" t="s">
        <v>21</v>
      </c>
      <c r="E211" s="3" t="s">
        <v>26</v>
      </c>
      <c r="F211" s="3">
        <v>30</v>
      </c>
      <c r="G211" s="3">
        <v>6.98</v>
      </c>
      <c r="H211" s="3">
        <v>0.05</v>
      </c>
      <c r="I211" s="3">
        <v>0.76</v>
      </c>
      <c r="J211" s="3">
        <v>4.01</v>
      </c>
      <c r="K211" s="3">
        <v>1</v>
      </c>
      <c r="L211" s="3">
        <v>27.47</v>
      </c>
      <c r="M211" s="4" t="str">
        <f t="shared" si="0"/>
        <v>Low</v>
      </c>
    </row>
    <row r="212" spans="1:13" ht="14.25" customHeight="1" x14ac:dyDescent="0.3">
      <c r="A212" s="3" t="s">
        <v>51</v>
      </c>
      <c r="B212" s="3" t="s">
        <v>45</v>
      </c>
      <c r="C212" s="3" t="s">
        <v>16</v>
      </c>
      <c r="D212" s="3" t="s">
        <v>17</v>
      </c>
      <c r="E212" s="3" t="s">
        <v>22</v>
      </c>
      <c r="F212" s="3">
        <v>57</v>
      </c>
      <c r="G212" s="3">
        <v>7.84</v>
      </c>
      <c r="H212" s="3">
        <v>0.13</v>
      </c>
      <c r="I212" s="3">
        <v>0.88</v>
      </c>
      <c r="J212" s="3">
        <v>4.79</v>
      </c>
      <c r="K212" s="3">
        <v>1</v>
      </c>
      <c r="L212" s="3">
        <v>28.76</v>
      </c>
      <c r="M212" s="4" t="str">
        <f t="shared" si="0"/>
        <v>High</v>
      </c>
    </row>
    <row r="213" spans="1:13" ht="14.25" customHeight="1" x14ac:dyDescent="0.3">
      <c r="A213" s="3" t="s">
        <v>51</v>
      </c>
      <c r="B213" s="3" t="s">
        <v>45</v>
      </c>
      <c r="C213" s="3" t="s">
        <v>16</v>
      </c>
      <c r="D213" s="3" t="s">
        <v>19</v>
      </c>
      <c r="E213" s="3" t="s">
        <v>22</v>
      </c>
      <c r="F213" s="3">
        <v>60</v>
      </c>
      <c r="G213" s="3">
        <v>6.39</v>
      </c>
      <c r="H213" s="3">
        <v>0.23</v>
      </c>
      <c r="I213" s="3">
        <v>0.88</v>
      </c>
      <c r="J213" s="3">
        <v>4.03</v>
      </c>
      <c r="K213" s="3">
        <v>0</v>
      </c>
      <c r="L213" s="3">
        <v>24.58</v>
      </c>
      <c r="M213" s="4" t="str">
        <f t="shared" si="0"/>
        <v>Low</v>
      </c>
    </row>
    <row r="214" spans="1:13" ht="14.25" customHeight="1" x14ac:dyDescent="0.3">
      <c r="A214" s="3" t="s">
        <v>51</v>
      </c>
      <c r="B214" s="3" t="s">
        <v>45</v>
      </c>
      <c r="C214" s="3" t="s">
        <v>16</v>
      </c>
      <c r="D214" s="3" t="s">
        <v>21</v>
      </c>
      <c r="E214" s="3" t="s">
        <v>18</v>
      </c>
      <c r="F214" s="3">
        <v>35</v>
      </c>
      <c r="G214" s="3">
        <v>8.2899999999999991</v>
      </c>
      <c r="H214" s="3">
        <v>7.0000000000000007E-2</v>
      </c>
      <c r="I214" s="3">
        <v>0.67</v>
      </c>
      <c r="J214" s="3">
        <v>4.34</v>
      </c>
      <c r="K214" s="3">
        <v>0</v>
      </c>
      <c r="L214" s="3">
        <v>27.44</v>
      </c>
      <c r="M214" s="4" t="str">
        <f t="shared" si="0"/>
        <v>Low</v>
      </c>
    </row>
    <row r="215" spans="1:13" ht="14.25" customHeight="1" x14ac:dyDescent="0.3">
      <c r="A215" s="3" t="s">
        <v>51</v>
      </c>
      <c r="B215" s="3" t="s">
        <v>45</v>
      </c>
      <c r="C215" s="3" t="s">
        <v>24</v>
      </c>
      <c r="D215" s="3" t="s">
        <v>17</v>
      </c>
      <c r="E215" s="3" t="s">
        <v>18</v>
      </c>
      <c r="F215" s="3">
        <v>36</v>
      </c>
      <c r="G215" s="3">
        <v>7.11</v>
      </c>
      <c r="H215" s="3">
        <v>0.09</v>
      </c>
      <c r="I215" s="3">
        <v>0.81</v>
      </c>
      <c r="J215" s="3">
        <v>4.21</v>
      </c>
      <c r="K215" s="3">
        <v>0</v>
      </c>
      <c r="L215" s="3">
        <v>25.66</v>
      </c>
      <c r="M215" s="4" t="str">
        <f t="shared" si="0"/>
        <v>Low</v>
      </c>
    </row>
    <row r="216" spans="1:13" ht="14.25" customHeight="1" x14ac:dyDescent="0.3">
      <c r="A216" s="3" t="s">
        <v>51</v>
      </c>
      <c r="B216" s="3" t="s">
        <v>45</v>
      </c>
      <c r="C216" s="3" t="s">
        <v>24</v>
      </c>
      <c r="D216" s="3" t="s">
        <v>19</v>
      </c>
      <c r="E216" s="3" t="s">
        <v>18</v>
      </c>
      <c r="F216" s="3">
        <v>64</v>
      </c>
      <c r="G216" s="3">
        <v>9.14</v>
      </c>
      <c r="H216" s="3">
        <v>0.1</v>
      </c>
      <c r="I216" s="3">
        <v>0.82</v>
      </c>
      <c r="J216" s="3">
        <v>3.99</v>
      </c>
      <c r="K216" s="3">
        <v>2</v>
      </c>
      <c r="L216" s="3">
        <v>32.71</v>
      </c>
      <c r="M216" s="4" t="str">
        <f t="shared" si="0"/>
        <v>High</v>
      </c>
    </row>
    <row r="217" spans="1:13" ht="14.25" customHeight="1" x14ac:dyDescent="0.3">
      <c r="A217" s="3" t="s">
        <v>51</v>
      </c>
      <c r="B217" s="3" t="s">
        <v>45</v>
      </c>
      <c r="C217" s="3" t="s">
        <v>24</v>
      </c>
      <c r="D217" s="3" t="s">
        <v>21</v>
      </c>
      <c r="E217" s="3" t="s">
        <v>18</v>
      </c>
      <c r="F217" s="3">
        <v>35</v>
      </c>
      <c r="G217" s="3">
        <v>8.51</v>
      </c>
      <c r="H217" s="3">
        <v>0.14000000000000001</v>
      </c>
      <c r="I217" s="3">
        <v>0.8</v>
      </c>
      <c r="J217" s="3">
        <v>3.64</v>
      </c>
      <c r="K217" s="3">
        <v>0</v>
      </c>
      <c r="L217" s="3">
        <v>27.76</v>
      </c>
      <c r="M217" s="4" t="str">
        <f t="shared" si="0"/>
        <v>High</v>
      </c>
    </row>
    <row r="218" spans="1:13" ht="14.25" customHeight="1" x14ac:dyDescent="0.3">
      <c r="A218" s="3" t="s">
        <v>51</v>
      </c>
      <c r="B218" s="3" t="s">
        <v>45</v>
      </c>
      <c r="C218" s="3" t="s">
        <v>29</v>
      </c>
      <c r="D218" s="3" t="s">
        <v>17</v>
      </c>
      <c r="E218" s="3" t="s">
        <v>18</v>
      </c>
      <c r="F218" s="3">
        <v>44</v>
      </c>
      <c r="G218" s="3">
        <v>9.83</v>
      </c>
      <c r="H218" s="3">
        <v>0.12</v>
      </c>
      <c r="I218" s="3">
        <v>0.87</v>
      </c>
      <c r="J218" s="3">
        <v>4.43</v>
      </c>
      <c r="K218" s="3">
        <v>3</v>
      </c>
      <c r="L218" s="3">
        <v>35.75</v>
      </c>
      <c r="M218" s="4" t="str">
        <f t="shared" si="0"/>
        <v>High</v>
      </c>
    </row>
    <row r="219" spans="1:13" ht="14.25" customHeight="1" x14ac:dyDescent="0.3">
      <c r="A219" s="3" t="s">
        <v>51</v>
      </c>
      <c r="B219" s="3" t="s">
        <v>45</v>
      </c>
      <c r="C219" s="3" t="s">
        <v>29</v>
      </c>
      <c r="D219" s="3" t="s">
        <v>19</v>
      </c>
      <c r="E219" s="3" t="s">
        <v>22</v>
      </c>
      <c r="F219" s="3">
        <v>52</v>
      </c>
      <c r="G219" s="3">
        <v>8.23</v>
      </c>
      <c r="H219" s="3">
        <v>0.16</v>
      </c>
      <c r="I219" s="3">
        <v>0.88</v>
      </c>
      <c r="J219" s="3">
        <v>3.59</v>
      </c>
      <c r="K219" s="3">
        <v>3</v>
      </c>
      <c r="L219" s="3">
        <v>33.340000000000003</v>
      </c>
      <c r="M219" s="4" t="str">
        <f t="shared" si="0"/>
        <v>High</v>
      </c>
    </row>
    <row r="220" spans="1:13" ht="14.25" customHeight="1" x14ac:dyDescent="0.3">
      <c r="A220" s="3" t="s">
        <v>51</v>
      </c>
      <c r="B220" s="3" t="s">
        <v>45</v>
      </c>
      <c r="C220" s="3" t="s">
        <v>29</v>
      </c>
      <c r="D220" s="3" t="s">
        <v>21</v>
      </c>
      <c r="E220" s="3" t="s">
        <v>18</v>
      </c>
      <c r="F220" s="3">
        <v>44</v>
      </c>
      <c r="G220" s="3">
        <v>7.4</v>
      </c>
      <c r="H220" s="3">
        <v>0.05</v>
      </c>
      <c r="I220" s="3">
        <v>0.64</v>
      </c>
      <c r="J220" s="3">
        <v>4.3</v>
      </c>
      <c r="K220" s="3">
        <v>0</v>
      </c>
      <c r="L220" s="3">
        <v>26.1</v>
      </c>
      <c r="M220" s="4" t="str">
        <f t="shared" si="0"/>
        <v>Low</v>
      </c>
    </row>
    <row r="221" spans="1:13" ht="14.25" customHeight="1" x14ac:dyDescent="0.3">
      <c r="A221" s="3" t="s">
        <v>51</v>
      </c>
      <c r="B221" s="3" t="s">
        <v>45</v>
      </c>
      <c r="C221" s="3" t="s">
        <v>32</v>
      </c>
      <c r="D221" s="3" t="s">
        <v>17</v>
      </c>
      <c r="E221" s="3" t="s">
        <v>18</v>
      </c>
      <c r="F221" s="3">
        <v>58</v>
      </c>
      <c r="G221" s="3">
        <v>6.09</v>
      </c>
      <c r="H221" s="3">
        <v>0.12</v>
      </c>
      <c r="I221" s="3">
        <v>0.83</v>
      </c>
      <c r="J221" s="3">
        <v>3.9</v>
      </c>
      <c r="K221" s="3">
        <v>1</v>
      </c>
      <c r="L221" s="3">
        <v>26.14</v>
      </c>
      <c r="M221" s="4" t="str">
        <f t="shared" si="0"/>
        <v>Low</v>
      </c>
    </row>
    <row r="222" spans="1:13" ht="14.25" customHeight="1" x14ac:dyDescent="0.3">
      <c r="A222" s="3" t="s">
        <v>51</v>
      </c>
      <c r="B222" s="3" t="s">
        <v>45</v>
      </c>
      <c r="C222" s="3" t="s">
        <v>32</v>
      </c>
      <c r="D222" s="3" t="s">
        <v>19</v>
      </c>
      <c r="E222" s="3" t="s">
        <v>26</v>
      </c>
      <c r="F222" s="3">
        <v>78</v>
      </c>
      <c r="G222" s="3">
        <v>6.44</v>
      </c>
      <c r="H222" s="3">
        <v>0.13</v>
      </c>
      <c r="I222" s="3">
        <v>0.87</v>
      </c>
      <c r="J222" s="3">
        <v>3.74</v>
      </c>
      <c r="K222" s="3">
        <v>0</v>
      </c>
      <c r="L222" s="3">
        <v>24.66</v>
      </c>
      <c r="M222" s="4" t="str">
        <f t="shared" si="0"/>
        <v>Low</v>
      </c>
    </row>
    <row r="223" spans="1:13" ht="14.25" customHeight="1" x14ac:dyDescent="0.3">
      <c r="A223" s="3" t="s">
        <v>51</v>
      </c>
      <c r="B223" s="3" t="s">
        <v>45</v>
      </c>
      <c r="C223" s="3" t="s">
        <v>32</v>
      </c>
      <c r="D223" s="3" t="s">
        <v>21</v>
      </c>
      <c r="E223" s="3" t="s">
        <v>26</v>
      </c>
      <c r="F223" s="3">
        <v>71</v>
      </c>
      <c r="G223" s="3">
        <v>7.56</v>
      </c>
      <c r="H223" s="3">
        <v>0.14000000000000001</v>
      </c>
      <c r="I223" s="3">
        <v>0.71</v>
      </c>
      <c r="J223" s="3">
        <v>3.61</v>
      </c>
      <c r="K223" s="3">
        <v>2</v>
      </c>
      <c r="L223" s="3">
        <v>30.34</v>
      </c>
      <c r="M223" s="4" t="str">
        <f t="shared" si="0"/>
        <v>High</v>
      </c>
    </row>
    <row r="224" spans="1:13" ht="14.25" customHeight="1" x14ac:dyDescent="0.3">
      <c r="A224" s="3" t="s">
        <v>51</v>
      </c>
      <c r="B224" s="3" t="s">
        <v>45</v>
      </c>
      <c r="C224" s="3" t="s">
        <v>33</v>
      </c>
      <c r="D224" s="3" t="s">
        <v>17</v>
      </c>
      <c r="E224" s="3" t="s">
        <v>18</v>
      </c>
      <c r="F224" s="3">
        <v>74</v>
      </c>
      <c r="G224" s="3">
        <v>7.97</v>
      </c>
      <c r="H224" s="3">
        <v>0.1</v>
      </c>
      <c r="I224" s="3">
        <v>0.87</v>
      </c>
      <c r="J224" s="3">
        <v>4.6500000000000004</v>
      </c>
      <c r="K224" s="3">
        <v>0</v>
      </c>
      <c r="L224" s="3">
        <v>26.96</v>
      </c>
      <c r="M224" s="4" t="str">
        <f t="shared" si="0"/>
        <v>Low</v>
      </c>
    </row>
    <row r="225" spans="1:13" ht="14.25" customHeight="1" x14ac:dyDescent="0.3">
      <c r="A225" s="3" t="s">
        <v>51</v>
      </c>
      <c r="B225" s="3" t="s">
        <v>45</v>
      </c>
      <c r="C225" s="3" t="s">
        <v>33</v>
      </c>
      <c r="D225" s="3" t="s">
        <v>19</v>
      </c>
      <c r="E225" s="3" t="s">
        <v>22</v>
      </c>
      <c r="F225" s="3">
        <v>39</v>
      </c>
      <c r="G225" s="3">
        <v>7.64</v>
      </c>
      <c r="H225" s="3">
        <v>0.09</v>
      </c>
      <c r="I225" s="3">
        <v>0.8</v>
      </c>
      <c r="J225" s="3">
        <v>4.68</v>
      </c>
      <c r="K225" s="3">
        <v>1</v>
      </c>
      <c r="L225" s="3">
        <v>28.46</v>
      </c>
      <c r="M225" s="4" t="str">
        <f t="shared" si="0"/>
        <v>High</v>
      </c>
    </row>
    <row r="226" spans="1:13" ht="14.25" customHeight="1" x14ac:dyDescent="0.3">
      <c r="A226" s="3" t="s">
        <v>51</v>
      </c>
      <c r="B226" s="3" t="s">
        <v>45</v>
      </c>
      <c r="C226" s="3" t="s">
        <v>33</v>
      </c>
      <c r="D226" s="3" t="s">
        <v>21</v>
      </c>
      <c r="E226" s="3" t="s">
        <v>18</v>
      </c>
      <c r="F226" s="3">
        <v>56</v>
      </c>
      <c r="G226" s="3">
        <v>6.78</v>
      </c>
      <c r="H226" s="3">
        <v>0.13</v>
      </c>
      <c r="I226" s="3">
        <v>0.71</v>
      </c>
      <c r="J226" s="3">
        <v>4.37</v>
      </c>
      <c r="K226" s="3">
        <v>0</v>
      </c>
      <c r="L226" s="3">
        <v>25.17</v>
      </c>
      <c r="M226" s="4" t="str">
        <f t="shared" si="0"/>
        <v>Low</v>
      </c>
    </row>
    <row r="227" spans="1:13" ht="14.25" customHeight="1" x14ac:dyDescent="0.3">
      <c r="A227" s="3" t="s">
        <v>51</v>
      </c>
      <c r="B227" s="3" t="s">
        <v>46</v>
      </c>
      <c r="C227" s="3" t="s">
        <v>16</v>
      </c>
      <c r="D227" s="3" t="s">
        <v>17</v>
      </c>
      <c r="E227" s="3" t="s">
        <v>18</v>
      </c>
      <c r="F227" s="3">
        <v>62</v>
      </c>
      <c r="G227" s="3">
        <v>8.39</v>
      </c>
      <c r="H227" s="3">
        <v>0.08</v>
      </c>
      <c r="I227" s="3">
        <v>0.77</v>
      </c>
      <c r="J227" s="3">
        <v>3.81</v>
      </c>
      <c r="K227" s="3">
        <v>2</v>
      </c>
      <c r="L227" s="3">
        <v>31.58</v>
      </c>
      <c r="M227" s="4" t="str">
        <f t="shared" si="0"/>
        <v>High</v>
      </c>
    </row>
    <row r="228" spans="1:13" ht="14.25" customHeight="1" x14ac:dyDescent="0.3">
      <c r="A228" s="3" t="s">
        <v>51</v>
      </c>
      <c r="B228" s="3" t="s">
        <v>46</v>
      </c>
      <c r="C228" s="3" t="s">
        <v>16</v>
      </c>
      <c r="D228" s="3" t="s">
        <v>19</v>
      </c>
      <c r="E228" s="3" t="s">
        <v>18</v>
      </c>
      <c r="F228" s="3">
        <v>50</v>
      </c>
      <c r="G228" s="3">
        <v>8.7200000000000006</v>
      </c>
      <c r="H228" s="3">
        <v>0.09</v>
      </c>
      <c r="I228" s="3">
        <v>0.78</v>
      </c>
      <c r="J228" s="3">
        <v>4.01</v>
      </c>
      <c r="K228" s="3">
        <v>0</v>
      </c>
      <c r="L228" s="3">
        <v>28.08</v>
      </c>
      <c r="M228" s="4" t="str">
        <f t="shared" si="0"/>
        <v>High</v>
      </c>
    </row>
    <row r="229" spans="1:13" ht="14.25" customHeight="1" x14ac:dyDescent="0.3">
      <c r="A229" s="3" t="s">
        <v>51</v>
      </c>
      <c r="B229" s="3" t="s">
        <v>46</v>
      </c>
      <c r="C229" s="3" t="s">
        <v>16</v>
      </c>
      <c r="D229" s="3" t="s">
        <v>21</v>
      </c>
      <c r="E229" s="3" t="s">
        <v>18</v>
      </c>
      <c r="F229" s="3">
        <v>31</v>
      </c>
      <c r="G229" s="3">
        <v>9.1199999999999992</v>
      </c>
      <c r="H229" s="3">
        <v>0.06</v>
      </c>
      <c r="I229" s="3">
        <v>0.75</v>
      </c>
      <c r="J229" s="3">
        <v>4.38</v>
      </c>
      <c r="K229" s="3">
        <v>0</v>
      </c>
      <c r="L229" s="3">
        <v>28.68</v>
      </c>
      <c r="M229" s="4" t="str">
        <f t="shared" si="0"/>
        <v>High</v>
      </c>
    </row>
    <row r="230" spans="1:13" ht="14.25" customHeight="1" x14ac:dyDescent="0.3">
      <c r="A230" s="3" t="s">
        <v>51</v>
      </c>
      <c r="B230" s="3" t="s">
        <v>46</v>
      </c>
      <c r="C230" s="3" t="s">
        <v>24</v>
      </c>
      <c r="D230" s="3" t="s">
        <v>17</v>
      </c>
      <c r="E230" s="3" t="s">
        <v>18</v>
      </c>
      <c r="F230" s="3">
        <v>70</v>
      </c>
      <c r="G230" s="3">
        <v>8.07</v>
      </c>
      <c r="H230" s="3">
        <v>0.06</v>
      </c>
      <c r="I230" s="3">
        <v>0.76</v>
      </c>
      <c r="J230" s="3">
        <v>3.61</v>
      </c>
      <c r="K230" s="3">
        <v>2</v>
      </c>
      <c r="L230" s="3">
        <v>31.1</v>
      </c>
      <c r="M230" s="4" t="str">
        <f t="shared" si="0"/>
        <v>High</v>
      </c>
    </row>
    <row r="231" spans="1:13" ht="14.25" customHeight="1" x14ac:dyDescent="0.3">
      <c r="A231" s="3" t="s">
        <v>51</v>
      </c>
      <c r="B231" s="3" t="s">
        <v>46</v>
      </c>
      <c r="C231" s="3" t="s">
        <v>24</v>
      </c>
      <c r="D231" s="3" t="s">
        <v>19</v>
      </c>
      <c r="E231" s="3" t="s">
        <v>22</v>
      </c>
      <c r="F231" s="3">
        <v>37</v>
      </c>
      <c r="G231" s="3">
        <v>9.1300000000000008</v>
      </c>
      <c r="H231" s="3">
        <v>0.14000000000000001</v>
      </c>
      <c r="I231" s="3">
        <v>0.8</v>
      </c>
      <c r="J231" s="3">
        <v>4.3</v>
      </c>
      <c r="K231" s="3">
        <v>0</v>
      </c>
      <c r="L231" s="3">
        <v>28.7</v>
      </c>
      <c r="M231" s="4" t="str">
        <f t="shared" si="0"/>
        <v>High</v>
      </c>
    </row>
    <row r="232" spans="1:13" ht="14.25" customHeight="1" x14ac:dyDescent="0.3">
      <c r="A232" s="3" t="s">
        <v>51</v>
      </c>
      <c r="B232" s="3" t="s">
        <v>46</v>
      </c>
      <c r="C232" s="3" t="s">
        <v>24</v>
      </c>
      <c r="D232" s="3" t="s">
        <v>21</v>
      </c>
      <c r="E232" s="3" t="s">
        <v>26</v>
      </c>
      <c r="F232" s="3">
        <v>34</v>
      </c>
      <c r="G232" s="3">
        <v>7.7</v>
      </c>
      <c r="H232" s="3">
        <v>0.06</v>
      </c>
      <c r="I232" s="3">
        <v>0.75</v>
      </c>
      <c r="J232" s="3">
        <v>4.38</v>
      </c>
      <c r="K232" s="3">
        <v>0</v>
      </c>
      <c r="L232" s="3">
        <v>26.55</v>
      </c>
      <c r="M232" s="4" t="str">
        <f t="shared" si="0"/>
        <v>Low</v>
      </c>
    </row>
    <row r="233" spans="1:13" ht="14.25" customHeight="1" x14ac:dyDescent="0.3">
      <c r="A233" s="3" t="s">
        <v>51</v>
      </c>
      <c r="B233" s="3" t="s">
        <v>46</v>
      </c>
      <c r="C233" s="3" t="s">
        <v>29</v>
      </c>
      <c r="D233" s="3" t="s">
        <v>17</v>
      </c>
      <c r="E233" s="3" t="s">
        <v>18</v>
      </c>
      <c r="F233" s="3">
        <v>51</v>
      </c>
      <c r="G233" s="3">
        <v>6.9</v>
      </c>
      <c r="H233" s="3">
        <v>0.11</v>
      </c>
      <c r="I233" s="3">
        <v>0.9</v>
      </c>
      <c r="J233" s="3">
        <v>4.3600000000000003</v>
      </c>
      <c r="K233" s="3">
        <v>0</v>
      </c>
      <c r="L233" s="3">
        <v>25.35</v>
      </c>
      <c r="M233" s="4" t="str">
        <f t="shared" si="0"/>
        <v>Low</v>
      </c>
    </row>
    <row r="234" spans="1:13" ht="14.25" customHeight="1" x14ac:dyDescent="0.3">
      <c r="A234" s="3" t="s">
        <v>51</v>
      </c>
      <c r="B234" s="3" t="s">
        <v>46</v>
      </c>
      <c r="C234" s="3" t="s">
        <v>29</v>
      </c>
      <c r="D234" s="3" t="s">
        <v>19</v>
      </c>
      <c r="E234" s="3" t="s">
        <v>26</v>
      </c>
      <c r="F234" s="3">
        <v>59</v>
      </c>
      <c r="G234" s="3">
        <v>8.3699999999999992</v>
      </c>
      <c r="H234" s="3">
        <v>0.03</v>
      </c>
      <c r="I234" s="3">
        <v>0.89</v>
      </c>
      <c r="J234" s="3">
        <v>4.33</v>
      </c>
      <c r="K234" s="3">
        <v>1</v>
      </c>
      <c r="L234" s="3">
        <v>29.56</v>
      </c>
      <c r="M234" s="4" t="str">
        <f t="shared" si="0"/>
        <v>High</v>
      </c>
    </row>
    <row r="235" spans="1:13" ht="14.25" customHeight="1" x14ac:dyDescent="0.3">
      <c r="A235" s="3" t="s">
        <v>51</v>
      </c>
      <c r="B235" s="3" t="s">
        <v>46</v>
      </c>
      <c r="C235" s="3" t="s">
        <v>29</v>
      </c>
      <c r="D235" s="3" t="s">
        <v>21</v>
      </c>
      <c r="E235" s="3" t="s">
        <v>22</v>
      </c>
      <c r="F235" s="3">
        <v>71</v>
      </c>
      <c r="G235" s="3">
        <v>5.7</v>
      </c>
      <c r="H235" s="3">
        <v>7.0000000000000007E-2</v>
      </c>
      <c r="I235" s="3">
        <v>0.71</v>
      </c>
      <c r="J235" s="3">
        <v>4.4800000000000004</v>
      </c>
      <c r="K235" s="3">
        <v>0</v>
      </c>
      <c r="L235" s="3">
        <v>23.55</v>
      </c>
      <c r="M235" s="4" t="str">
        <f t="shared" si="0"/>
        <v>Low</v>
      </c>
    </row>
    <row r="236" spans="1:13" ht="14.25" customHeight="1" x14ac:dyDescent="0.3">
      <c r="A236" s="3" t="s">
        <v>51</v>
      </c>
      <c r="B236" s="3" t="s">
        <v>46</v>
      </c>
      <c r="C236" s="3" t="s">
        <v>32</v>
      </c>
      <c r="D236" s="3" t="s">
        <v>17</v>
      </c>
      <c r="E236" s="3" t="s">
        <v>18</v>
      </c>
      <c r="F236" s="3">
        <v>49</v>
      </c>
      <c r="G236" s="3">
        <v>5.16</v>
      </c>
      <c r="H236" s="3">
        <v>0.04</v>
      </c>
      <c r="I236" s="3">
        <v>0.9</v>
      </c>
      <c r="J236" s="3">
        <v>3.53</v>
      </c>
      <c r="K236" s="3">
        <v>1</v>
      </c>
      <c r="L236" s="3">
        <v>24.74</v>
      </c>
      <c r="M236" s="4" t="str">
        <f t="shared" si="0"/>
        <v>Low</v>
      </c>
    </row>
    <row r="237" spans="1:13" ht="14.25" customHeight="1" x14ac:dyDescent="0.3">
      <c r="A237" s="3" t="s">
        <v>51</v>
      </c>
      <c r="B237" s="3" t="s">
        <v>46</v>
      </c>
      <c r="C237" s="3" t="s">
        <v>32</v>
      </c>
      <c r="D237" s="3" t="s">
        <v>19</v>
      </c>
      <c r="E237" s="3" t="s">
        <v>26</v>
      </c>
      <c r="F237" s="3">
        <v>30</v>
      </c>
      <c r="G237" s="3">
        <v>7</v>
      </c>
      <c r="H237" s="3">
        <v>0.13</v>
      </c>
      <c r="I237" s="3">
        <v>0.83</v>
      </c>
      <c r="J237" s="3">
        <v>4.3099999999999996</v>
      </c>
      <c r="K237" s="3">
        <v>0</v>
      </c>
      <c r="L237" s="3">
        <v>25.5</v>
      </c>
      <c r="M237" s="4" t="str">
        <f t="shared" si="0"/>
        <v>Low</v>
      </c>
    </row>
    <row r="238" spans="1:13" ht="14.25" customHeight="1" x14ac:dyDescent="0.3">
      <c r="A238" s="3" t="s">
        <v>51</v>
      </c>
      <c r="B238" s="3" t="s">
        <v>46</v>
      </c>
      <c r="C238" s="3" t="s">
        <v>32</v>
      </c>
      <c r="D238" s="3" t="s">
        <v>21</v>
      </c>
      <c r="E238" s="3" t="s">
        <v>26</v>
      </c>
      <c r="F238" s="3">
        <v>62</v>
      </c>
      <c r="G238" s="3">
        <v>7.66</v>
      </c>
      <c r="H238" s="3">
        <v>0.04</v>
      </c>
      <c r="I238" s="3">
        <v>0.62</v>
      </c>
      <c r="J238" s="3">
        <v>3.65</v>
      </c>
      <c r="K238" s="3">
        <v>0</v>
      </c>
      <c r="L238" s="3">
        <v>26.49</v>
      </c>
      <c r="M238" s="4" t="str">
        <f t="shared" si="0"/>
        <v>Low</v>
      </c>
    </row>
    <row r="239" spans="1:13" ht="14.25" customHeight="1" x14ac:dyDescent="0.3">
      <c r="A239" s="3" t="s">
        <v>51</v>
      </c>
      <c r="B239" s="3" t="s">
        <v>46</v>
      </c>
      <c r="C239" s="3" t="s">
        <v>33</v>
      </c>
      <c r="D239" s="3" t="s">
        <v>17</v>
      </c>
      <c r="E239" s="3" t="s">
        <v>18</v>
      </c>
      <c r="F239" s="3">
        <v>70</v>
      </c>
      <c r="G239" s="3">
        <v>9.9700000000000006</v>
      </c>
      <c r="H239" s="3">
        <v>0.03</v>
      </c>
      <c r="I239" s="3">
        <v>0.89</v>
      </c>
      <c r="J239" s="3">
        <v>4.22</v>
      </c>
      <c r="K239" s="3">
        <v>0</v>
      </c>
      <c r="L239" s="3">
        <v>29.96</v>
      </c>
      <c r="M239" s="4" t="str">
        <f t="shared" si="0"/>
        <v>High</v>
      </c>
    </row>
    <row r="240" spans="1:13" ht="14.25" customHeight="1" x14ac:dyDescent="0.3">
      <c r="A240" s="3" t="s">
        <v>51</v>
      </c>
      <c r="B240" s="3" t="s">
        <v>46</v>
      </c>
      <c r="C240" s="3" t="s">
        <v>33</v>
      </c>
      <c r="D240" s="3" t="s">
        <v>19</v>
      </c>
      <c r="E240" s="3" t="s">
        <v>18</v>
      </c>
      <c r="F240" s="3">
        <v>52</v>
      </c>
      <c r="G240" s="3">
        <v>7.95</v>
      </c>
      <c r="H240" s="3">
        <v>0.09</v>
      </c>
      <c r="I240" s="3">
        <v>0.83</v>
      </c>
      <c r="J240" s="3">
        <v>4.01</v>
      </c>
      <c r="K240" s="3">
        <v>0</v>
      </c>
      <c r="L240" s="3">
        <v>26.92</v>
      </c>
      <c r="M240" s="4" t="str">
        <f t="shared" si="0"/>
        <v>Low</v>
      </c>
    </row>
    <row r="241" spans="1:13" ht="14.25" customHeight="1" x14ac:dyDescent="0.3">
      <c r="A241" s="3" t="s">
        <v>51</v>
      </c>
      <c r="B241" s="3" t="s">
        <v>46</v>
      </c>
      <c r="C241" s="3" t="s">
        <v>33</v>
      </c>
      <c r="D241" s="3" t="s">
        <v>21</v>
      </c>
      <c r="E241" s="3" t="s">
        <v>18</v>
      </c>
      <c r="F241" s="3">
        <v>67</v>
      </c>
      <c r="G241" s="3">
        <v>6.97</v>
      </c>
      <c r="H241" s="3">
        <v>0.13</v>
      </c>
      <c r="I241" s="3">
        <v>0.7</v>
      </c>
      <c r="J241" s="3">
        <v>4.6399999999999997</v>
      </c>
      <c r="K241" s="3">
        <v>2</v>
      </c>
      <c r="L241" s="3">
        <v>29.46</v>
      </c>
      <c r="M241" s="4" t="str">
        <f t="shared" si="0"/>
        <v>High</v>
      </c>
    </row>
    <row r="242" spans="1:13" ht="14.25" customHeight="1" x14ac:dyDescent="0.3">
      <c r="A242" s="3" t="s">
        <v>51</v>
      </c>
      <c r="B242" s="3" t="s">
        <v>47</v>
      </c>
      <c r="C242" s="3" t="s">
        <v>16</v>
      </c>
      <c r="D242" s="3" t="s">
        <v>17</v>
      </c>
      <c r="E242" s="3" t="s">
        <v>26</v>
      </c>
      <c r="F242" s="3">
        <v>45</v>
      </c>
      <c r="G242" s="3">
        <v>8.08</v>
      </c>
      <c r="H242" s="3">
        <v>0.06</v>
      </c>
      <c r="I242" s="3">
        <v>0.75</v>
      </c>
      <c r="J242" s="3">
        <v>3.7</v>
      </c>
      <c r="K242" s="3">
        <v>0</v>
      </c>
      <c r="L242" s="3">
        <v>27.12</v>
      </c>
      <c r="M242" s="4" t="str">
        <f t="shared" si="0"/>
        <v>Low</v>
      </c>
    </row>
    <row r="243" spans="1:13" ht="14.25" customHeight="1" x14ac:dyDescent="0.3">
      <c r="A243" s="3" t="s">
        <v>51</v>
      </c>
      <c r="B243" s="3" t="s">
        <v>47</v>
      </c>
      <c r="C243" s="3" t="s">
        <v>16</v>
      </c>
      <c r="D243" s="3" t="s">
        <v>19</v>
      </c>
      <c r="E243" s="3" t="s">
        <v>26</v>
      </c>
      <c r="F243" s="3">
        <v>47</v>
      </c>
      <c r="G243" s="3">
        <v>6.98</v>
      </c>
      <c r="H243" s="3">
        <v>0.1</v>
      </c>
      <c r="I243" s="3">
        <v>0.87</v>
      </c>
      <c r="J243" s="3">
        <v>3.67</v>
      </c>
      <c r="K243" s="3">
        <v>2</v>
      </c>
      <c r="L243" s="3">
        <v>29.47</v>
      </c>
      <c r="M243" s="4" t="str">
        <f t="shared" si="0"/>
        <v>High</v>
      </c>
    </row>
    <row r="244" spans="1:13" ht="14.25" customHeight="1" x14ac:dyDescent="0.3">
      <c r="A244" s="3" t="s">
        <v>51</v>
      </c>
      <c r="B244" s="3" t="s">
        <v>47</v>
      </c>
      <c r="C244" s="3" t="s">
        <v>16</v>
      </c>
      <c r="D244" s="3" t="s">
        <v>21</v>
      </c>
      <c r="E244" s="3" t="s">
        <v>26</v>
      </c>
      <c r="F244" s="3">
        <v>43</v>
      </c>
      <c r="G244" s="3">
        <v>6.98</v>
      </c>
      <c r="H244" s="3">
        <v>0.14000000000000001</v>
      </c>
      <c r="I244" s="3">
        <v>0.81</v>
      </c>
      <c r="J244" s="3">
        <v>4.37</v>
      </c>
      <c r="K244" s="3">
        <v>0</v>
      </c>
      <c r="L244" s="3">
        <v>25.47</v>
      </c>
      <c r="M244" s="4" t="str">
        <f t="shared" si="0"/>
        <v>Low</v>
      </c>
    </row>
    <row r="245" spans="1:13" ht="14.25" customHeight="1" x14ac:dyDescent="0.3">
      <c r="A245" s="3" t="s">
        <v>51</v>
      </c>
      <c r="B245" s="3" t="s">
        <v>47</v>
      </c>
      <c r="C245" s="3" t="s">
        <v>24</v>
      </c>
      <c r="D245" s="3" t="s">
        <v>17</v>
      </c>
      <c r="E245" s="3" t="s">
        <v>18</v>
      </c>
      <c r="F245" s="3">
        <v>33</v>
      </c>
      <c r="G245" s="3">
        <v>8.43</v>
      </c>
      <c r="H245" s="3">
        <v>0.04</v>
      </c>
      <c r="I245" s="3">
        <v>0.89</v>
      </c>
      <c r="J245" s="3">
        <v>4.21</v>
      </c>
      <c r="K245" s="3">
        <v>3</v>
      </c>
      <c r="L245" s="3">
        <v>33.64</v>
      </c>
      <c r="M245" s="4" t="str">
        <f t="shared" si="0"/>
        <v>High</v>
      </c>
    </row>
    <row r="246" spans="1:13" ht="14.25" customHeight="1" x14ac:dyDescent="0.3">
      <c r="A246" s="3" t="s">
        <v>51</v>
      </c>
      <c r="B246" s="3" t="s">
        <v>47</v>
      </c>
      <c r="C246" s="3" t="s">
        <v>24</v>
      </c>
      <c r="D246" s="3" t="s">
        <v>19</v>
      </c>
      <c r="E246" s="3" t="s">
        <v>18</v>
      </c>
      <c r="F246" s="3">
        <v>42</v>
      </c>
      <c r="G246" s="3">
        <v>8.23</v>
      </c>
      <c r="H246" s="3">
        <v>0.02</v>
      </c>
      <c r="I246" s="3">
        <v>0.75</v>
      </c>
      <c r="J246" s="3">
        <v>4.28</v>
      </c>
      <c r="K246" s="3">
        <v>0</v>
      </c>
      <c r="L246" s="3">
        <v>27.34</v>
      </c>
      <c r="M246" s="4" t="str">
        <f t="shared" si="0"/>
        <v>Low</v>
      </c>
    </row>
    <row r="247" spans="1:13" ht="14.25" customHeight="1" x14ac:dyDescent="0.3">
      <c r="A247" s="3" t="s">
        <v>51</v>
      </c>
      <c r="B247" s="3" t="s">
        <v>47</v>
      </c>
      <c r="C247" s="3" t="s">
        <v>24</v>
      </c>
      <c r="D247" s="3" t="s">
        <v>21</v>
      </c>
      <c r="E247" s="3" t="s">
        <v>18</v>
      </c>
      <c r="F247" s="3">
        <v>34</v>
      </c>
      <c r="G247" s="3">
        <v>7.04</v>
      </c>
      <c r="H247" s="3">
        <v>0.12</v>
      </c>
      <c r="I247" s="3">
        <v>0.71</v>
      </c>
      <c r="J247" s="3">
        <v>3.58</v>
      </c>
      <c r="K247" s="3">
        <v>3</v>
      </c>
      <c r="L247" s="3">
        <v>31.56</v>
      </c>
      <c r="M247" s="4" t="str">
        <f t="shared" si="0"/>
        <v>High</v>
      </c>
    </row>
    <row r="248" spans="1:13" ht="14.25" customHeight="1" x14ac:dyDescent="0.3">
      <c r="A248" s="3" t="s">
        <v>51</v>
      </c>
      <c r="B248" s="3" t="s">
        <v>47</v>
      </c>
      <c r="C248" s="3" t="s">
        <v>29</v>
      </c>
      <c r="D248" s="3" t="s">
        <v>17</v>
      </c>
      <c r="E248" s="3" t="s">
        <v>22</v>
      </c>
      <c r="F248" s="3">
        <v>44</v>
      </c>
      <c r="G248" s="3">
        <v>6.89</v>
      </c>
      <c r="H248" s="3">
        <v>0.22</v>
      </c>
      <c r="I248" s="3">
        <v>0.76</v>
      </c>
      <c r="J248" s="3">
        <v>4.16</v>
      </c>
      <c r="K248" s="3">
        <v>3</v>
      </c>
      <c r="L248" s="3">
        <v>31.34</v>
      </c>
      <c r="M248" s="4" t="str">
        <f t="shared" si="0"/>
        <v>High</v>
      </c>
    </row>
    <row r="249" spans="1:13" ht="14.25" customHeight="1" x14ac:dyDescent="0.3">
      <c r="A249" s="3" t="s">
        <v>51</v>
      </c>
      <c r="B249" s="3" t="s">
        <v>47</v>
      </c>
      <c r="C249" s="3" t="s">
        <v>29</v>
      </c>
      <c r="D249" s="3" t="s">
        <v>19</v>
      </c>
      <c r="E249" s="3" t="s">
        <v>26</v>
      </c>
      <c r="F249" s="3">
        <v>68</v>
      </c>
      <c r="G249" s="3">
        <v>7.2</v>
      </c>
      <c r="H249" s="3">
        <v>0.05</v>
      </c>
      <c r="I249" s="3">
        <v>0.78</v>
      </c>
      <c r="J249" s="3">
        <v>4.3499999999999996</v>
      </c>
      <c r="K249" s="3">
        <v>2</v>
      </c>
      <c r="L249" s="3">
        <v>29.8</v>
      </c>
      <c r="M249" s="4" t="str">
        <f t="shared" si="0"/>
        <v>High</v>
      </c>
    </row>
    <row r="250" spans="1:13" ht="14.25" customHeight="1" x14ac:dyDescent="0.3">
      <c r="A250" s="3" t="s">
        <v>51</v>
      </c>
      <c r="B250" s="3" t="s">
        <v>47</v>
      </c>
      <c r="C250" s="3" t="s">
        <v>29</v>
      </c>
      <c r="D250" s="3" t="s">
        <v>21</v>
      </c>
      <c r="E250" s="3" t="s">
        <v>26</v>
      </c>
      <c r="F250" s="3">
        <v>66</v>
      </c>
      <c r="G250" s="3">
        <v>7.37</v>
      </c>
      <c r="H250" s="3">
        <v>0.05</v>
      </c>
      <c r="I250" s="3">
        <v>0.69</v>
      </c>
      <c r="J250" s="3">
        <v>4.04</v>
      </c>
      <c r="K250" s="3">
        <v>2</v>
      </c>
      <c r="L250" s="3">
        <v>30.06</v>
      </c>
      <c r="M250" s="4" t="str">
        <f t="shared" si="0"/>
        <v>High</v>
      </c>
    </row>
    <row r="251" spans="1:13" ht="14.25" customHeight="1" x14ac:dyDescent="0.3">
      <c r="A251" s="3" t="s">
        <v>51</v>
      </c>
      <c r="B251" s="3" t="s">
        <v>47</v>
      </c>
      <c r="C251" s="3" t="s">
        <v>32</v>
      </c>
      <c r="D251" s="3" t="s">
        <v>17</v>
      </c>
      <c r="E251" s="3" t="s">
        <v>26</v>
      </c>
      <c r="F251" s="3">
        <v>51</v>
      </c>
      <c r="G251" s="3">
        <v>8.49</v>
      </c>
      <c r="H251" s="3">
        <v>0.15</v>
      </c>
      <c r="I251" s="3">
        <v>0.79</v>
      </c>
      <c r="J251" s="3">
        <v>3.67</v>
      </c>
      <c r="K251" s="3">
        <v>0</v>
      </c>
      <c r="L251" s="3">
        <v>27.74</v>
      </c>
      <c r="M251" s="4" t="str">
        <f t="shared" si="0"/>
        <v>High</v>
      </c>
    </row>
    <row r="252" spans="1:13" ht="14.25" customHeight="1" x14ac:dyDescent="0.3">
      <c r="A252" s="3" t="s">
        <v>51</v>
      </c>
      <c r="B252" s="3" t="s">
        <v>47</v>
      </c>
      <c r="C252" s="3" t="s">
        <v>32</v>
      </c>
      <c r="D252" s="3" t="s">
        <v>19</v>
      </c>
      <c r="E252" s="3" t="s">
        <v>26</v>
      </c>
      <c r="F252" s="3">
        <v>50</v>
      </c>
      <c r="G252" s="3">
        <v>6.95</v>
      </c>
      <c r="H252" s="3">
        <v>0.09</v>
      </c>
      <c r="I252" s="3">
        <v>0.78</v>
      </c>
      <c r="J252" s="3">
        <v>3.52</v>
      </c>
      <c r="K252" s="3">
        <v>0</v>
      </c>
      <c r="L252" s="3">
        <v>25.42</v>
      </c>
      <c r="M252" s="4" t="str">
        <f t="shared" si="0"/>
        <v>Low</v>
      </c>
    </row>
    <row r="253" spans="1:13" ht="14.25" customHeight="1" x14ac:dyDescent="0.3">
      <c r="A253" s="3" t="s">
        <v>51</v>
      </c>
      <c r="B253" s="3" t="s">
        <v>47</v>
      </c>
      <c r="C253" s="3" t="s">
        <v>32</v>
      </c>
      <c r="D253" s="3" t="s">
        <v>21</v>
      </c>
      <c r="E253" s="3" t="s">
        <v>26</v>
      </c>
      <c r="F253" s="3">
        <v>47</v>
      </c>
      <c r="G253" s="3">
        <v>7.89</v>
      </c>
      <c r="H253" s="3">
        <v>0.03</v>
      </c>
      <c r="I253" s="3">
        <v>0.61</v>
      </c>
      <c r="J253" s="3">
        <v>3.98</v>
      </c>
      <c r="K253" s="3">
        <v>0</v>
      </c>
      <c r="L253" s="3">
        <v>26.84</v>
      </c>
      <c r="M253" s="4" t="str">
        <f t="shared" si="0"/>
        <v>Low</v>
      </c>
    </row>
    <row r="254" spans="1:13" ht="14.25" customHeight="1" x14ac:dyDescent="0.3">
      <c r="A254" s="3" t="s">
        <v>51</v>
      </c>
      <c r="B254" s="3" t="s">
        <v>47</v>
      </c>
      <c r="C254" s="3" t="s">
        <v>33</v>
      </c>
      <c r="D254" s="3" t="s">
        <v>17</v>
      </c>
      <c r="E254" s="3" t="s">
        <v>18</v>
      </c>
      <c r="F254" s="3">
        <v>50</v>
      </c>
      <c r="G254" s="3">
        <v>6.31</v>
      </c>
      <c r="H254" s="3">
        <v>0.06</v>
      </c>
      <c r="I254" s="3">
        <v>0.86</v>
      </c>
      <c r="J254" s="3">
        <v>4.12</v>
      </c>
      <c r="K254" s="3">
        <v>0</v>
      </c>
      <c r="L254" s="3">
        <v>24.46</v>
      </c>
      <c r="M254" s="4" t="str">
        <f t="shared" si="0"/>
        <v>Low</v>
      </c>
    </row>
    <row r="255" spans="1:13" ht="14.25" customHeight="1" x14ac:dyDescent="0.3">
      <c r="A255" s="3" t="s">
        <v>51</v>
      </c>
      <c r="B255" s="3" t="s">
        <v>47</v>
      </c>
      <c r="C255" s="3" t="s">
        <v>33</v>
      </c>
      <c r="D255" s="3" t="s">
        <v>19</v>
      </c>
      <c r="E255" s="3" t="s">
        <v>18</v>
      </c>
      <c r="F255" s="3">
        <v>67</v>
      </c>
      <c r="G255" s="3">
        <v>7.46</v>
      </c>
      <c r="H255" s="3">
        <v>7.0000000000000007E-2</v>
      </c>
      <c r="I255" s="3">
        <v>0.89</v>
      </c>
      <c r="J255" s="3">
        <v>3.67</v>
      </c>
      <c r="K255" s="3">
        <v>0</v>
      </c>
      <c r="L255" s="3">
        <v>26.19</v>
      </c>
      <c r="M255" s="4" t="str">
        <f t="shared" si="0"/>
        <v>Low</v>
      </c>
    </row>
    <row r="256" spans="1:13" ht="14.25" customHeight="1" x14ac:dyDescent="0.3">
      <c r="A256" s="3" t="s">
        <v>51</v>
      </c>
      <c r="B256" s="3" t="s">
        <v>47</v>
      </c>
      <c r="C256" s="3" t="s">
        <v>33</v>
      </c>
      <c r="D256" s="3" t="s">
        <v>21</v>
      </c>
      <c r="E256" s="3" t="s">
        <v>18</v>
      </c>
      <c r="F256" s="3">
        <v>70</v>
      </c>
      <c r="G256" s="3">
        <v>6.89</v>
      </c>
      <c r="H256" s="3">
        <v>0.05</v>
      </c>
      <c r="I256" s="3">
        <v>0.81</v>
      </c>
      <c r="J256" s="3">
        <v>3.55</v>
      </c>
      <c r="K256" s="3">
        <v>2</v>
      </c>
      <c r="L256" s="3">
        <v>29.34</v>
      </c>
      <c r="M256" s="4" t="str">
        <f t="shared" si="0"/>
        <v>High</v>
      </c>
    </row>
    <row r="257" spans="1:13" ht="14.25" customHeight="1" x14ac:dyDescent="0.3">
      <c r="A257" s="3" t="s">
        <v>51</v>
      </c>
      <c r="B257" s="3" t="s">
        <v>48</v>
      </c>
      <c r="C257" s="3" t="s">
        <v>16</v>
      </c>
      <c r="D257" s="3" t="s">
        <v>17</v>
      </c>
      <c r="E257" s="3" t="s">
        <v>18</v>
      </c>
      <c r="F257" s="3">
        <v>40</v>
      </c>
      <c r="G257" s="3">
        <v>9.33</v>
      </c>
      <c r="H257" s="3">
        <v>0.08</v>
      </c>
      <c r="I257" s="3">
        <v>0.81</v>
      </c>
      <c r="J257" s="3">
        <v>4.09</v>
      </c>
      <c r="K257" s="3">
        <v>0</v>
      </c>
      <c r="L257" s="3">
        <v>29</v>
      </c>
      <c r="M257" s="4" t="str">
        <f t="shared" ref="M257:M451" si="1">IF(L257&gt;=P$5,"High","Low")</f>
        <v>High</v>
      </c>
    </row>
    <row r="258" spans="1:13" ht="14.25" customHeight="1" x14ac:dyDescent="0.3">
      <c r="A258" s="3" t="s">
        <v>51</v>
      </c>
      <c r="B258" s="3" t="s">
        <v>48</v>
      </c>
      <c r="C258" s="3" t="s">
        <v>16</v>
      </c>
      <c r="D258" s="3" t="s">
        <v>19</v>
      </c>
      <c r="E258" s="3" t="s">
        <v>26</v>
      </c>
      <c r="F258" s="3">
        <v>52</v>
      </c>
      <c r="G258" s="3">
        <v>6.31</v>
      </c>
      <c r="H258" s="3">
        <v>0.12</v>
      </c>
      <c r="I258" s="3">
        <v>0.83</v>
      </c>
      <c r="J258" s="3">
        <v>4.38</v>
      </c>
      <c r="K258" s="3">
        <v>0</v>
      </c>
      <c r="L258" s="3">
        <v>24.46</v>
      </c>
      <c r="M258" s="4" t="str">
        <f t="shared" si="1"/>
        <v>Low</v>
      </c>
    </row>
    <row r="259" spans="1:13" ht="14.25" customHeight="1" x14ac:dyDescent="0.3">
      <c r="A259" s="3" t="s">
        <v>51</v>
      </c>
      <c r="B259" s="3" t="s">
        <v>48</v>
      </c>
      <c r="C259" s="3" t="s">
        <v>16</v>
      </c>
      <c r="D259" s="3" t="s">
        <v>21</v>
      </c>
      <c r="E259" s="3" t="s">
        <v>22</v>
      </c>
      <c r="F259" s="3">
        <v>72</v>
      </c>
      <c r="G259" s="3">
        <v>7.56</v>
      </c>
      <c r="H259" s="3">
        <v>0.21</v>
      </c>
      <c r="I259" s="3">
        <v>0.8</v>
      </c>
      <c r="J259" s="3">
        <v>3.64</v>
      </c>
      <c r="K259" s="3">
        <v>0</v>
      </c>
      <c r="L259" s="3">
        <v>26.34</v>
      </c>
      <c r="M259" s="4" t="str">
        <f t="shared" si="1"/>
        <v>Low</v>
      </c>
    </row>
    <row r="260" spans="1:13" ht="14.25" customHeight="1" x14ac:dyDescent="0.3">
      <c r="A260" s="3" t="s">
        <v>51</v>
      </c>
      <c r="B260" s="3" t="s">
        <v>48</v>
      </c>
      <c r="C260" s="3" t="s">
        <v>24</v>
      </c>
      <c r="D260" s="3" t="s">
        <v>17</v>
      </c>
      <c r="E260" s="3" t="s">
        <v>18</v>
      </c>
      <c r="F260" s="3">
        <v>69</v>
      </c>
      <c r="G260" s="3">
        <v>6.15</v>
      </c>
      <c r="H260" s="3">
        <v>7.0000000000000007E-2</v>
      </c>
      <c r="I260" s="3">
        <v>0.87</v>
      </c>
      <c r="J260" s="3">
        <v>4.3600000000000003</v>
      </c>
      <c r="K260" s="3">
        <v>0</v>
      </c>
      <c r="L260" s="3">
        <v>24.22</v>
      </c>
      <c r="M260" s="4" t="str">
        <f t="shared" si="1"/>
        <v>Low</v>
      </c>
    </row>
    <row r="261" spans="1:13" ht="14.25" customHeight="1" x14ac:dyDescent="0.3">
      <c r="A261" s="3" t="s">
        <v>51</v>
      </c>
      <c r="B261" s="3" t="s">
        <v>48</v>
      </c>
      <c r="C261" s="3" t="s">
        <v>24</v>
      </c>
      <c r="D261" s="3" t="s">
        <v>19</v>
      </c>
      <c r="E261" s="3" t="s">
        <v>22</v>
      </c>
      <c r="F261" s="3">
        <v>34</v>
      </c>
      <c r="G261" s="3">
        <v>6.53</v>
      </c>
      <c r="H261" s="3">
        <v>0.19</v>
      </c>
      <c r="I261" s="3">
        <v>0.87</v>
      </c>
      <c r="J261" s="3">
        <v>3.59</v>
      </c>
      <c r="K261" s="3">
        <v>0</v>
      </c>
      <c r="L261" s="3">
        <v>24.8</v>
      </c>
      <c r="M261" s="4" t="str">
        <f t="shared" si="1"/>
        <v>Low</v>
      </c>
    </row>
    <row r="262" spans="1:13" ht="14.25" customHeight="1" x14ac:dyDescent="0.3">
      <c r="A262" s="3" t="s">
        <v>51</v>
      </c>
      <c r="B262" s="3" t="s">
        <v>48</v>
      </c>
      <c r="C262" s="3" t="s">
        <v>24</v>
      </c>
      <c r="D262" s="3" t="s">
        <v>21</v>
      </c>
      <c r="E262" s="3" t="s">
        <v>22</v>
      </c>
      <c r="F262" s="3">
        <v>77</v>
      </c>
      <c r="G262" s="3">
        <v>8.11</v>
      </c>
      <c r="H262" s="3">
        <v>0.15</v>
      </c>
      <c r="I262" s="3">
        <v>0.65</v>
      </c>
      <c r="J262" s="3">
        <v>3.66</v>
      </c>
      <c r="K262" s="3">
        <v>1</v>
      </c>
      <c r="L262" s="3">
        <v>29.16</v>
      </c>
      <c r="M262" s="4" t="str">
        <f t="shared" si="1"/>
        <v>High</v>
      </c>
    </row>
    <row r="263" spans="1:13" ht="14.25" customHeight="1" x14ac:dyDescent="0.3">
      <c r="A263" s="3" t="s">
        <v>51</v>
      </c>
      <c r="B263" s="3" t="s">
        <v>48</v>
      </c>
      <c r="C263" s="3" t="s">
        <v>29</v>
      </c>
      <c r="D263" s="3" t="s">
        <v>17</v>
      </c>
      <c r="E263" s="3" t="s">
        <v>26</v>
      </c>
      <c r="F263" s="3">
        <v>70</v>
      </c>
      <c r="G263" s="3">
        <v>8.81</v>
      </c>
      <c r="H263" s="3">
        <v>0.14000000000000001</v>
      </c>
      <c r="I263" s="3">
        <v>0.82</v>
      </c>
      <c r="J263" s="3">
        <v>4.66</v>
      </c>
      <c r="K263" s="3">
        <v>0</v>
      </c>
      <c r="L263" s="3">
        <v>28.22</v>
      </c>
      <c r="M263" s="4" t="str">
        <f t="shared" si="1"/>
        <v>High</v>
      </c>
    </row>
    <row r="264" spans="1:13" ht="14.25" customHeight="1" x14ac:dyDescent="0.3">
      <c r="A264" s="3" t="s">
        <v>51</v>
      </c>
      <c r="B264" s="3" t="s">
        <v>48</v>
      </c>
      <c r="C264" s="3" t="s">
        <v>29</v>
      </c>
      <c r="D264" s="3" t="s">
        <v>19</v>
      </c>
      <c r="E264" s="3" t="s">
        <v>22</v>
      </c>
      <c r="F264" s="3">
        <v>56</v>
      </c>
      <c r="G264" s="3">
        <v>7.56</v>
      </c>
      <c r="H264" s="3">
        <v>0.2</v>
      </c>
      <c r="I264" s="3">
        <v>0.86</v>
      </c>
      <c r="J264" s="3">
        <v>4.5599999999999996</v>
      </c>
      <c r="K264" s="3">
        <v>1</v>
      </c>
      <c r="L264" s="3">
        <v>28.34</v>
      </c>
      <c r="M264" s="4" t="str">
        <f t="shared" si="1"/>
        <v>High</v>
      </c>
    </row>
    <row r="265" spans="1:13" ht="14.25" customHeight="1" x14ac:dyDescent="0.3">
      <c r="A265" s="3" t="s">
        <v>51</v>
      </c>
      <c r="B265" s="3" t="s">
        <v>48</v>
      </c>
      <c r="C265" s="3" t="s">
        <v>29</v>
      </c>
      <c r="D265" s="3" t="s">
        <v>21</v>
      </c>
      <c r="E265" s="3" t="s">
        <v>22</v>
      </c>
      <c r="F265" s="3">
        <v>44</v>
      </c>
      <c r="G265" s="3">
        <v>7.77</v>
      </c>
      <c r="H265" s="3">
        <v>0.08</v>
      </c>
      <c r="I265" s="3">
        <v>0.75</v>
      </c>
      <c r="J265" s="3">
        <v>3.62</v>
      </c>
      <c r="K265" s="3">
        <v>0</v>
      </c>
      <c r="L265" s="3">
        <v>26.66</v>
      </c>
      <c r="M265" s="4" t="str">
        <f t="shared" si="1"/>
        <v>Low</v>
      </c>
    </row>
    <row r="266" spans="1:13" ht="14.25" customHeight="1" x14ac:dyDescent="0.3">
      <c r="A266" s="3" t="s">
        <v>51</v>
      </c>
      <c r="B266" s="3" t="s">
        <v>48</v>
      </c>
      <c r="C266" s="3" t="s">
        <v>32</v>
      </c>
      <c r="D266" s="3" t="s">
        <v>17</v>
      </c>
      <c r="E266" s="3" t="s">
        <v>18</v>
      </c>
      <c r="F266" s="3">
        <v>54</v>
      </c>
      <c r="G266" s="3">
        <v>6.99</v>
      </c>
      <c r="H266" s="3">
        <v>0.14000000000000001</v>
      </c>
      <c r="I266" s="3">
        <v>0.85</v>
      </c>
      <c r="J266" s="3">
        <v>4.1399999999999997</v>
      </c>
      <c r="K266" s="3">
        <v>0</v>
      </c>
      <c r="L266" s="3">
        <v>25.48</v>
      </c>
      <c r="M266" s="4" t="str">
        <f t="shared" si="1"/>
        <v>Low</v>
      </c>
    </row>
    <row r="267" spans="1:13" ht="14.25" customHeight="1" x14ac:dyDescent="0.3">
      <c r="A267" s="3" t="s">
        <v>51</v>
      </c>
      <c r="B267" s="3" t="s">
        <v>48</v>
      </c>
      <c r="C267" s="3" t="s">
        <v>32</v>
      </c>
      <c r="D267" s="3" t="s">
        <v>19</v>
      </c>
      <c r="E267" s="3" t="s">
        <v>26</v>
      </c>
      <c r="F267" s="3">
        <v>61</v>
      </c>
      <c r="G267" s="3">
        <v>6.74</v>
      </c>
      <c r="H267" s="3">
        <v>0.06</v>
      </c>
      <c r="I267" s="3">
        <v>0.88</v>
      </c>
      <c r="J267" s="3">
        <v>3.84</v>
      </c>
      <c r="K267" s="3">
        <v>0</v>
      </c>
      <c r="L267" s="3">
        <v>25.11</v>
      </c>
      <c r="M267" s="4" t="str">
        <f t="shared" si="1"/>
        <v>Low</v>
      </c>
    </row>
    <row r="268" spans="1:13" ht="14.25" customHeight="1" x14ac:dyDescent="0.3">
      <c r="A268" s="3" t="s">
        <v>51</v>
      </c>
      <c r="B268" s="3" t="s">
        <v>48</v>
      </c>
      <c r="C268" s="3" t="s">
        <v>32</v>
      </c>
      <c r="D268" s="3" t="s">
        <v>21</v>
      </c>
      <c r="E268" s="3" t="s">
        <v>18</v>
      </c>
      <c r="F268" s="3">
        <v>50</v>
      </c>
      <c r="G268" s="3">
        <v>6.21</v>
      </c>
      <c r="H268" s="3">
        <v>0.03</v>
      </c>
      <c r="I268" s="3">
        <v>0.68</v>
      </c>
      <c r="J268" s="3">
        <v>4.4800000000000004</v>
      </c>
      <c r="K268" s="3">
        <v>0</v>
      </c>
      <c r="L268" s="3">
        <v>24.32</v>
      </c>
      <c r="M268" s="4" t="str">
        <f t="shared" si="1"/>
        <v>Low</v>
      </c>
    </row>
    <row r="269" spans="1:13" ht="14.25" customHeight="1" x14ac:dyDescent="0.3">
      <c r="A269" s="3" t="s">
        <v>51</v>
      </c>
      <c r="B269" s="3" t="s">
        <v>48</v>
      </c>
      <c r="C269" s="3" t="s">
        <v>33</v>
      </c>
      <c r="D269" s="3" t="s">
        <v>17</v>
      </c>
      <c r="E269" s="3" t="s">
        <v>18</v>
      </c>
      <c r="F269" s="3">
        <v>42</v>
      </c>
      <c r="G269" s="3">
        <v>7.73</v>
      </c>
      <c r="H269" s="3">
        <v>0.04</v>
      </c>
      <c r="I269" s="3">
        <v>0.77</v>
      </c>
      <c r="J269" s="3">
        <v>4.4400000000000004</v>
      </c>
      <c r="K269" s="3">
        <v>2</v>
      </c>
      <c r="L269" s="3">
        <v>30.6</v>
      </c>
      <c r="M269" s="4" t="str">
        <f t="shared" si="1"/>
        <v>High</v>
      </c>
    </row>
    <row r="270" spans="1:13" ht="14.25" customHeight="1" x14ac:dyDescent="0.3">
      <c r="A270" s="3" t="s">
        <v>51</v>
      </c>
      <c r="B270" s="3" t="s">
        <v>48</v>
      </c>
      <c r="C270" s="3" t="s">
        <v>33</v>
      </c>
      <c r="D270" s="3" t="s">
        <v>19</v>
      </c>
      <c r="E270" s="3" t="s">
        <v>22</v>
      </c>
      <c r="F270" s="3">
        <v>52</v>
      </c>
      <c r="G270" s="3">
        <v>7.99</v>
      </c>
      <c r="H270" s="3">
        <v>0.19</v>
      </c>
      <c r="I270" s="3">
        <v>0.84</v>
      </c>
      <c r="J270" s="3">
        <v>4.16</v>
      </c>
      <c r="K270" s="3">
        <v>0</v>
      </c>
      <c r="L270" s="3">
        <v>26.98</v>
      </c>
      <c r="M270" s="4" t="str">
        <f t="shared" si="1"/>
        <v>Low</v>
      </c>
    </row>
    <row r="271" spans="1:13" ht="14.25" customHeight="1" x14ac:dyDescent="0.3">
      <c r="A271" s="3" t="s">
        <v>51</v>
      </c>
      <c r="B271" s="3" t="s">
        <v>48</v>
      </c>
      <c r="C271" s="3" t="s">
        <v>33</v>
      </c>
      <c r="D271" s="3" t="s">
        <v>21</v>
      </c>
      <c r="E271" s="3" t="s">
        <v>18</v>
      </c>
      <c r="F271" s="3">
        <v>58</v>
      </c>
      <c r="G271" s="3">
        <v>8.2200000000000006</v>
      </c>
      <c r="H271" s="3">
        <v>0.03</v>
      </c>
      <c r="I271" s="3">
        <v>0.74</v>
      </c>
      <c r="J271" s="3">
        <v>4.6399999999999997</v>
      </c>
      <c r="K271" s="3">
        <v>0</v>
      </c>
      <c r="L271" s="3">
        <v>27.33</v>
      </c>
      <c r="M271" s="4" t="str">
        <f t="shared" si="1"/>
        <v>Low</v>
      </c>
    </row>
    <row r="272" spans="1:13" ht="14.25" customHeight="1" x14ac:dyDescent="0.3">
      <c r="A272" s="3" t="s">
        <v>51</v>
      </c>
      <c r="B272" s="3" t="s">
        <v>49</v>
      </c>
      <c r="C272" s="3" t="s">
        <v>16</v>
      </c>
      <c r="D272" s="3" t="s">
        <v>17</v>
      </c>
      <c r="E272" s="3" t="s">
        <v>22</v>
      </c>
      <c r="F272" s="3">
        <v>45</v>
      </c>
      <c r="G272" s="3">
        <v>8.1</v>
      </c>
      <c r="H272" s="3">
        <v>0.27</v>
      </c>
      <c r="I272" s="3">
        <v>0.79</v>
      </c>
      <c r="J272" s="3">
        <v>3.75</v>
      </c>
      <c r="K272" s="3">
        <v>2</v>
      </c>
      <c r="L272" s="3">
        <v>31.15</v>
      </c>
      <c r="M272" s="4" t="str">
        <f t="shared" si="1"/>
        <v>High</v>
      </c>
    </row>
    <row r="273" spans="1:13" ht="14.25" customHeight="1" x14ac:dyDescent="0.3">
      <c r="A273" s="3" t="s">
        <v>51</v>
      </c>
      <c r="B273" s="3" t="s">
        <v>49</v>
      </c>
      <c r="C273" s="3" t="s">
        <v>16</v>
      </c>
      <c r="D273" s="3" t="s">
        <v>19</v>
      </c>
      <c r="E273" s="3" t="s">
        <v>18</v>
      </c>
      <c r="F273" s="3">
        <v>54</v>
      </c>
      <c r="G273" s="3">
        <v>8.27</v>
      </c>
      <c r="H273" s="3">
        <v>0.09</v>
      </c>
      <c r="I273" s="3">
        <v>0.86</v>
      </c>
      <c r="J273" s="3">
        <v>4.3</v>
      </c>
      <c r="K273" s="3">
        <v>0</v>
      </c>
      <c r="L273" s="3">
        <v>27.4</v>
      </c>
      <c r="M273" s="4" t="str">
        <f t="shared" si="1"/>
        <v>Low</v>
      </c>
    </row>
    <row r="274" spans="1:13" ht="14.25" customHeight="1" x14ac:dyDescent="0.3">
      <c r="A274" s="3" t="s">
        <v>51</v>
      </c>
      <c r="B274" s="3" t="s">
        <v>49</v>
      </c>
      <c r="C274" s="3" t="s">
        <v>16</v>
      </c>
      <c r="D274" s="3" t="s">
        <v>21</v>
      </c>
      <c r="E274" s="3" t="s">
        <v>18</v>
      </c>
      <c r="F274" s="3">
        <v>42</v>
      </c>
      <c r="G274" s="3">
        <v>9.14</v>
      </c>
      <c r="H274" s="3">
        <v>0.13</v>
      </c>
      <c r="I274" s="3">
        <v>0.81</v>
      </c>
      <c r="J274" s="3">
        <v>4.58</v>
      </c>
      <c r="K274" s="3">
        <v>0</v>
      </c>
      <c r="L274" s="3">
        <v>28.71</v>
      </c>
      <c r="M274" s="4" t="str">
        <f t="shared" si="1"/>
        <v>High</v>
      </c>
    </row>
    <row r="275" spans="1:13" ht="14.25" customHeight="1" x14ac:dyDescent="0.3">
      <c r="A275" s="3" t="s">
        <v>51</v>
      </c>
      <c r="B275" s="3" t="s">
        <v>49</v>
      </c>
      <c r="C275" s="3" t="s">
        <v>24</v>
      </c>
      <c r="D275" s="3" t="s">
        <v>17</v>
      </c>
      <c r="E275" s="3" t="s">
        <v>26</v>
      </c>
      <c r="F275" s="3">
        <v>49</v>
      </c>
      <c r="G275" s="3">
        <v>10.130000000000001</v>
      </c>
      <c r="H275" s="3">
        <v>0.06</v>
      </c>
      <c r="I275" s="3">
        <v>0.77</v>
      </c>
      <c r="J275" s="3">
        <v>3.9</v>
      </c>
      <c r="K275" s="3">
        <v>2</v>
      </c>
      <c r="L275" s="3">
        <v>34.200000000000003</v>
      </c>
      <c r="M275" s="4" t="str">
        <f t="shared" si="1"/>
        <v>High</v>
      </c>
    </row>
    <row r="276" spans="1:13" ht="14.25" customHeight="1" x14ac:dyDescent="0.3">
      <c r="A276" s="3" t="s">
        <v>51</v>
      </c>
      <c r="B276" s="3" t="s">
        <v>49</v>
      </c>
      <c r="C276" s="3" t="s">
        <v>24</v>
      </c>
      <c r="D276" s="3" t="s">
        <v>19</v>
      </c>
      <c r="E276" s="3" t="s">
        <v>26</v>
      </c>
      <c r="F276" s="3">
        <v>33</v>
      </c>
      <c r="G276" s="3">
        <v>9.06</v>
      </c>
      <c r="H276" s="3">
        <v>0.12</v>
      </c>
      <c r="I276" s="3">
        <v>0.78</v>
      </c>
      <c r="J276" s="3">
        <v>3.68</v>
      </c>
      <c r="K276" s="3">
        <v>1</v>
      </c>
      <c r="L276" s="3">
        <v>30.59</v>
      </c>
      <c r="M276" s="4" t="str">
        <f t="shared" si="1"/>
        <v>High</v>
      </c>
    </row>
    <row r="277" spans="1:13" ht="14.25" customHeight="1" x14ac:dyDescent="0.3">
      <c r="A277" s="3" t="s">
        <v>51</v>
      </c>
      <c r="B277" s="3" t="s">
        <v>49</v>
      </c>
      <c r="C277" s="3" t="s">
        <v>24</v>
      </c>
      <c r="D277" s="3" t="s">
        <v>21</v>
      </c>
      <c r="E277" s="3" t="s">
        <v>22</v>
      </c>
      <c r="F277" s="3">
        <v>68</v>
      </c>
      <c r="G277" s="3">
        <v>6.25</v>
      </c>
      <c r="H277" s="3">
        <v>0.05</v>
      </c>
      <c r="I277" s="3">
        <v>0.75</v>
      </c>
      <c r="J277" s="3">
        <v>3.96</v>
      </c>
      <c r="K277" s="3">
        <v>1</v>
      </c>
      <c r="L277" s="3">
        <v>26.38</v>
      </c>
      <c r="M277" s="4" t="str">
        <f t="shared" si="1"/>
        <v>Low</v>
      </c>
    </row>
    <row r="278" spans="1:13" ht="14.25" customHeight="1" x14ac:dyDescent="0.3">
      <c r="A278" s="3" t="s">
        <v>51</v>
      </c>
      <c r="B278" s="3" t="s">
        <v>49</v>
      </c>
      <c r="C278" s="3" t="s">
        <v>29</v>
      </c>
      <c r="D278" s="3" t="s">
        <v>17</v>
      </c>
      <c r="E278" s="3" t="s">
        <v>22</v>
      </c>
      <c r="F278" s="3">
        <v>36</v>
      </c>
      <c r="G278" s="3">
        <v>9.7100000000000009</v>
      </c>
      <c r="H278" s="3">
        <v>7.0000000000000007E-2</v>
      </c>
      <c r="I278" s="3">
        <v>0.84</v>
      </c>
      <c r="J278" s="3">
        <v>4.2300000000000004</v>
      </c>
      <c r="K278" s="3">
        <v>0</v>
      </c>
      <c r="L278" s="3">
        <v>29.56</v>
      </c>
      <c r="M278" s="4" t="str">
        <f t="shared" si="1"/>
        <v>High</v>
      </c>
    </row>
    <row r="279" spans="1:13" ht="14.25" customHeight="1" x14ac:dyDescent="0.3">
      <c r="A279" s="3" t="s">
        <v>51</v>
      </c>
      <c r="B279" s="3" t="s">
        <v>49</v>
      </c>
      <c r="C279" s="3" t="s">
        <v>29</v>
      </c>
      <c r="D279" s="3" t="s">
        <v>19</v>
      </c>
      <c r="E279" s="3" t="s">
        <v>18</v>
      </c>
      <c r="F279" s="3">
        <v>63</v>
      </c>
      <c r="G279" s="3">
        <v>7.2</v>
      </c>
      <c r="H279" s="3">
        <v>0.1</v>
      </c>
      <c r="I279" s="3">
        <v>0.84</v>
      </c>
      <c r="J279" s="3">
        <v>3.53</v>
      </c>
      <c r="K279" s="3">
        <v>0</v>
      </c>
      <c r="L279" s="3">
        <v>25.8</v>
      </c>
      <c r="M279" s="4" t="str">
        <f t="shared" si="1"/>
        <v>Low</v>
      </c>
    </row>
    <row r="280" spans="1:13" ht="14.25" customHeight="1" x14ac:dyDescent="0.3">
      <c r="A280" s="3" t="s">
        <v>51</v>
      </c>
      <c r="B280" s="3" t="s">
        <v>49</v>
      </c>
      <c r="C280" s="3" t="s">
        <v>29</v>
      </c>
      <c r="D280" s="3" t="s">
        <v>21</v>
      </c>
      <c r="E280" s="3" t="s">
        <v>18</v>
      </c>
      <c r="F280" s="3">
        <v>48</v>
      </c>
      <c r="G280" s="3">
        <v>7.33</v>
      </c>
      <c r="H280" s="3">
        <v>0.12</v>
      </c>
      <c r="I280" s="3">
        <v>0.78</v>
      </c>
      <c r="J280" s="3">
        <v>4.53</v>
      </c>
      <c r="K280" s="3">
        <v>0</v>
      </c>
      <c r="L280" s="3">
        <v>26</v>
      </c>
      <c r="M280" s="4" t="str">
        <f t="shared" si="1"/>
        <v>Low</v>
      </c>
    </row>
    <row r="281" spans="1:13" ht="14.25" customHeight="1" x14ac:dyDescent="0.3">
      <c r="A281" s="3" t="s">
        <v>51</v>
      </c>
      <c r="B281" s="3" t="s">
        <v>49</v>
      </c>
      <c r="C281" s="3" t="s">
        <v>32</v>
      </c>
      <c r="D281" s="3" t="s">
        <v>17</v>
      </c>
      <c r="E281" s="3" t="s">
        <v>18</v>
      </c>
      <c r="F281" s="3">
        <v>65</v>
      </c>
      <c r="G281" s="3">
        <v>7.05</v>
      </c>
      <c r="H281" s="3">
        <v>0.04</v>
      </c>
      <c r="I281" s="3">
        <v>0.86</v>
      </c>
      <c r="J281" s="3">
        <v>3.81</v>
      </c>
      <c r="K281" s="3">
        <v>0</v>
      </c>
      <c r="L281" s="3">
        <v>25.58</v>
      </c>
      <c r="M281" s="4" t="str">
        <f t="shared" si="1"/>
        <v>Low</v>
      </c>
    </row>
    <row r="282" spans="1:13" ht="14.25" customHeight="1" x14ac:dyDescent="0.3">
      <c r="A282" s="3" t="s">
        <v>51</v>
      </c>
      <c r="B282" s="3" t="s">
        <v>49</v>
      </c>
      <c r="C282" s="3" t="s">
        <v>32</v>
      </c>
      <c r="D282" s="3" t="s">
        <v>19</v>
      </c>
      <c r="E282" s="3" t="s">
        <v>22</v>
      </c>
      <c r="F282" s="3">
        <v>57</v>
      </c>
      <c r="G282" s="3">
        <v>7.69</v>
      </c>
      <c r="H282" s="3">
        <v>0.16</v>
      </c>
      <c r="I282" s="3">
        <v>0.85</v>
      </c>
      <c r="J282" s="3">
        <v>4.5199999999999996</v>
      </c>
      <c r="K282" s="3">
        <v>0</v>
      </c>
      <c r="L282" s="3">
        <v>26.54</v>
      </c>
      <c r="M282" s="4" t="str">
        <f t="shared" si="1"/>
        <v>Low</v>
      </c>
    </row>
    <row r="283" spans="1:13" ht="14.25" customHeight="1" x14ac:dyDescent="0.3">
      <c r="A283" s="3" t="s">
        <v>51</v>
      </c>
      <c r="B283" s="3" t="s">
        <v>49</v>
      </c>
      <c r="C283" s="3" t="s">
        <v>32</v>
      </c>
      <c r="D283" s="3" t="s">
        <v>21</v>
      </c>
      <c r="E283" s="3" t="s">
        <v>18</v>
      </c>
      <c r="F283" s="3">
        <v>43</v>
      </c>
      <c r="G283" s="3">
        <v>8.08</v>
      </c>
      <c r="H283" s="3">
        <v>0.12</v>
      </c>
      <c r="I283" s="3">
        <v>0.78</v>
      </c>
      <c r="J283" s="3">
        <v>4.74</v>
      </c>
      <c r="K283" s="3">
        <v>0</v>
      </c>
      <c r="L283" s="3">
        <v>27.12</v>
      </c>
      <c r="M283" s="4" t="str">
        <f t="shared" si="1"/>
        <v>Low</v>
      </c>
    </row>
    <row r="284" spans="1:13" ht="14.25" customHeight="1" x14ac:dyDescent="0.3">
      <c r="A284" s="3" t="s">
        <v>51</v>
      </c>
      <c r="B284" s="3" t="s">
        <v>49</v>
      </c>
      <c r="C284" s="3" t="s">
        <v>33</v>
      </c>
      <c r="D284" s="3" t="s">
        <v>17</v>
      </c>
      <c r="E284" s="3" t="s">
        <v>18</v>
      </c>
      <c r="F284" s="3">
        <v>39</v>
      </c>
      <c r="G284" s="3">
        <v>7.64</v>
      </c>
      <c r="H284" s="3">
        <v>0.06</v>
      </c>
      <c r="I284" s="3">
        <v>0.89</v>
      </c>
      <c r="J284" s="3">
        <v>3.84</v>
      </c>
      <c r="K284" s="3">
        <v>0</v>
      </c>
      <c r="L284" s="3">
        <v>26.46</v>
      </c>
      <c r="M284" s="4" t="str">
        <f t="shared" si="1"/>
        <v>Low</v>
      </c>
    </row>
    <row r="285" spans="1:13" ht="14.25" customHeight="1" x14ac:dyDescent="0.3">
      <c r="A285" s="3" t="s">
        <v>51</v>
      </c>
      <c r="B285" s="3" t="s">
        <v>49</v>
      </c>
      <c r="C285" s="3" t="s">
        <v>33</v>
      </c>
      <c r="D285" s="3" t="s">
        <v>19</v>
      </c>
      <c r="E285" s="3" t="s">
        <v>26</v>
      </c>
      <c r="F285" s="3">
        <v>58</v>
      </c>
      <c r="G285" s="3">
        <v>5.73</v>
      </c>
      <c r="H285" s="3">
        <v>0.08</v>
      </c>
      <c r="I285" s="3">
        <v>0.82</v>
      </c>
      <c r="J285" s="3">
        <v>4.07</v>
      </c>
      <c r="K285" s="3">
        <v>2</v>
      </c>
      <c r="L285" s="3">
        <v>27.6</v>
      </c>
      <c r="M285" s="4" t="str">
        <f t="shared" si="1"/>
        <v>Low</v>
      </c>
    </row>
    <row r="286" spans="1:13" ht="14.25" customHeight="1" x14ac:dyDescent="0.3">
      <c r="A286" s="3" t="s">
        <v>51</v>
      </c>
      <c r="B286" s="3" t="s">
        <v>49</v>
      </c>
      <c r="C286" s="3" t="s">
        <v>33</v>
      </c>
      <c r="D286" s="3" t="s">
        <v>21</v>
      </c>
      <c r="E286" s="3" t="s">
        <v>26</v>
      </c>
      <c r="F286" s="3">
        <v>55</v>
      </c>
      <c r="G286" s="3">
        <v>7.71</v>
      </c>
      <c r="H286" s="3">
        <v>0.08</v>
      </c>
      <c r="I286" s="3">
        <v>0.71</v>
      </c>
      <c r="J286" s="3">
        <v>4.45</v>
      </c>
      <c r="K286" s="3">
        <v>1</v>
      </c>
      <c r="L286" s="3">
        <v>28.56</v>
      </c>
      <c r="M286" s="4" t="str">
        <f t="shared" si="1"/>
        <v>High</v>
      </c>
    </row>
    <row r="287" spans="1:13" ht="14.25" customHeight="1" x14ac:dyDescent="0.3">
      <c r="A287" s="3" t="s">
        <v>51</v>
      </c>
      <c r="B287" s="3" t="s">
        <v>50</v>
      </c>
      <c r="C287" s="3" t="s">
        <v>16</v>
      </c>
      <c r="D287" s="3" t="s">
        <v>17</v>
      </c>
      <c r="E287" s="3" t="s">
        <v>22</v>
      </c>
      <c r="F287" s="3">
        <v>73</v>
      </c>
      <c r="G287" s="3">
        <v>7.12</v>
      </c>
      <c r="H287" s="3">
        <v>0.08</v>
      </c>
      <c r="I287" s="3">
        <v>0.86</v>
      </c>
      <c r="J287" s="3">
        <v>4.3499999999999996</v>
      </c>
      <c r="K287" s="3">
        <v>3</v>
      </c>
      <c r="L287" s="3">
        <v>31.68</v>
      </c>
      <c r="M287" s="4" t="str">
        <f t="shared" si="1"/>
        <v>High</v>
      </c>
    </row>
    <row r="288" spans="1:13" ht="14.25" customHeight="1" x14ac:dyDescent="0.3">
      <c r="A288" s="3" t="s">
        <v>51</v>
      </c>
      <c r="B288" s="3" t="s">
        <v>50</v>
      </c>
      <c r="C288" s="3" t="s">
        <v>16</v>
      </c>
      <c r="D288" s="3" t="s">
        <v>19</v>
      </c>
      <c r="E288" s="3" t="s">
        <v>22</v>
      </c>
      <c r="F288" s="3">
        <v>73</v>
      </c>
      <c r="G288" s="3">
        <v>6.55</v>
      </c>
      <c r="H288" s="3">
        <v>0.25</v>
      </c>
      <c r="I288" s="3">
        <v>0.9</v>
      </c>
      <c r="J288" s="3">
        <v>3.98</v>
      </c>
      <c r="K288" s="3">
        <v>0</v>
      </c>
      <c r="L288" s="3">
        <v>24.82</v>
      </c>
      <c r="M288" s="4" t="str">
        <f t="shared" si="1"/>
        <v>Low</v>
      </c>
    </row>
    <row r="289" spans="1:13" ht="14.25" customHeight="1" x14ac:dyDescent="0.3">
      <c r="A289" s="3" t="s">
        <v>51</v>
      </c>
      <c r="B289" s="3" t="s">
        <v>50</v>
      </c>
      <c r="C289" s="3" t="s">
        <v>16</v>
      </c>
      <c r="D289" s="3" t="s">
        <v>21</v>
      </c>
      <c r="E289" s="3" t="s">
        <v>26</v>
      </c>
      <c r="F289" s="3">
        <v>35</v>
      </c>
      <c r="G289" s="3">
        <v>6.55</v>
      </c>
      <c r="H289" s="3">
        <v>0.03</v>
      </c>
      <c r="I289" s="3">
        <v>0.72</v>
      </c>
      <c r="J289" s="3">
        <v>3.54</v>
      </c>
      <c r="K289" s="3">
        <v>0</v>
      </c>
      <c r="L289" s="3">
        <v>24.82</v>
      </c>
      <c r="M289" s="4" t="str">
        <f t="shared" si="1"/>
        <v>Low</v>
      </c>
    </row>
    <row r="290" spans="1:13" ht="14.25" customHeight="1" x14ac:dyDescent="0.3">
      <c r="A290" s="3" t="s">
        <v>51</v>
      </c>
      <c r="B290" s="3" t="s">
        <v>50</v>
      </c>
      <c r="C290" s="3" t="s">
        <v>24</v>
      </c>
      <c r="D290" s="3" t="s">
        <v>17</v>
      </c>
      <c r="E290" s="3" t="s">
        <v>26</v>
      </c>
      <c r="F290" s="3">
        <v>50</v>
      </c>
      <c r="G290" s="3">
        <v>5.08</v>
      </c>
      <c r="H290" s="3">
        <v>7.0000000000000007E-2</v>
      </c>
      <c r="I290" s="3">
        <v>0.88</v>
      </c>
      <c r="J290" s="3">
        <v>3.53</v>
      </c>
      <c r="K290" s="3">
        <v>1</v>
      </c>
      <c r="L290" s="3">
        <v>24.62</v>
      </c>
      <c r="M290" s="4" t="str">
        <f t="shared" si="1"/>
        <v>Low</v>
      </c>
    </row>
    <row r="291" spans="1:13" ht="14.25" customHeight="1" x14ac:dyDescent="0.3">
      <c r="A291" s="3" t="s">
        <v>51</v>
      </c>
      <c r="B291" s="3" t="s">
        <v>50</v>
      </c>
      <c r="C291" s="3" t="s">
        <v>24</v>
      </c>
      <c r="D291" s="3" t="s">
        <v>19</v>
      </c>
      <c r="E291" s="3" t="s">
        <v>26</v>
      </c>
      <c r="F291" s="3">
        <v>44</v>
      </c>
      <c r="G291" s="3">
        <v>8.3800000000000008</v>
      </c>
      <c r="H291" s="3">
        <v>0.13</v>
      </c>
      <c r="I291" s="3">
        <v>0.81</v>
      </c>
      <c r="J291" s="3">
        <v>4.58</v>
      </c>
      <c r="K291" s="3">
        <v>1</v>
      </c>
      <c r="L291" s="3">
        <v>29.57</v>
      </c>
      <c r="M291" s="4" t="str">
        <f t="shared" si="1"/>
        <v>High</v>
      </c>
    </row>
    <row r="292" spans="1:13" ht="14.25" customHeight="1" x14ac:dyDescent="0.3">
      <c r="A292" s="3" t="s">
        <v>51</v>
      </c>
      <c r="B292" s="3" t="s">
        <v>50</v>
      </c>
      <c r="C292" s="3" t="s">
        <v>24</v>
      </c>
      <c r="D292" s="3" t="s">
        <v>21</v>
      </c>
      <c r="E292" s="3" t="s">
        <v>18</v>
      </c>
      <c r="F292" s="3">
        <v>66</v>
      </c>
      <c r="G292" s="3">
        <v>6.39</v>
      </c>
      <c r="H292" s="3">
        <v>0.09</v>
      </c>
      <c r="I292" s="3">
        <v>0.72</v>
      </c>
      <c r="J292" s="3">
        <v>4.76</v>
      </c>
      <c r="K292" s="3">
        <v>1</v>
      </c>
      <c r="L292" s="3">
        <v>26.58</v>
      </c>
      <c r="M292" s="4" t="str">
        <f t="shared" si="1"/>
        <v>Low</v>
      </c>
    </row>
    <row r="293" spans="1:13" ht="14.25" customHeight="1" x14ac:dyDescent="0.3">
      <c r="A293" s="3" t="s">
        <v>51</v>
      </c>
      <c r="B293" s="3" t="s">
        <v>50</v>
      </c>
      <c r="C293" s="3" t="s">
        <v>29</v>
      </c>
      <c r="D293" s="3" t="s">
        <v>17</v>
      </c>
      <c r="E293" s="3" t="s">
        <v>18</v>
      </c>
      <c r="F293" s="3">
        <v>70</v>
      </c>
      <c r="G293" s="3">
        <v>8.07</v>
      </c>
      <c r="H293" s="3">
        <v>0.02</v>
      </c>
      <c r="I293" s="3">
        <v>0.86</v>
      </c>
      <c r="J293" s="3">
        <v>4.04</v>
      </c>
      <c r="K293" s="3">
        <v>0</v>
      </c>
      <c r="L293" s="3">
        <v>27.1</v>
      </c>
      <c r="M293" s="4" t="str">
        <f t="shared" si="1"/>
        <v>Low</v>
      </c>
    </row>
    <row r="294" spans="1:13" ht="14.25" customHeight="1" x14ac:dyDescent="0.3">
      <c r="A294" s="3" t="s">
        <v>51</v>
      </c>
      <c r="B294" s="3" t="s">
        <v>50</v>
      </c>
      <c r="C294" s="3" t="s">
        <v>29</v>
      </c>
      <c r="D294" s="3" t="s">
        <v>19</v>
      </c>
      <c r="E294" s="3" t="s">
        <v>18</v>
      </c>
      <c r="F294" s="3">
        <v>62</v>
      </c>
      <c r="G294" s="3">
        <v>6.48</v>
      </c>
      <c r="H294" s="3">
        <v>0.13</v>
      </c>
      <c r="I294" s="3">
        <v>0.86</v>
      </c>
      <c r="J294" s="3">
        <v>3.59</v>
      </c>
      <c r="K294" s="3">
        <v>1</v>
      </c>
      <c r="L294" s="3">
        <v>26.72</v>
      </c>
      <c r="M294" s="4" t="str">
        <f t="shared" si="1"/>
        <v>Low</v>
      </c>
    </row>
    <row r="295" spans="1:13" ht="14.25" customHeight="1" x14ac:dyDescent="0.3">
      <c r="A295" s="3" t="s">
        <v>51</v>
      </c>
      <c r="B295" s="3" t="s">
        <v>50</v>
      </c>
      <c r="C295" s="3" t="s">
        <v>29</v>
      </c>
      <c r="D295" s="3" t="s">
        <v>21</v>
      </c>
      <c r="E295" s="3" t="s">
        <v>18</v>
      </c>
      <c r="F295" s="3">
        <v>35</v>
      </c>
      <c r="G295" s="3">
        <v>7.56</v>
      </c>
      <c r="H295" s="3">
        <v>0.05</v>
      </c>
      <c r="I295" s="3">
        <v>0.81</v>
      </c>
      <c r="J295" s="3">
        <v>4.0599999999999996</v>
      </c>
      <c r="K295" s="3">
        <v>0</v>
      </c>
      <c r="L295" s="3">
        <v>26.34</v>
      </c>
      <c r="M295" s="4" t="str">
        <f t="shared" si="1"/>
        <v>Low</v>
      </c>
    </row>
    <row r="296" spans="1:13" ht="14.25" customHeight="1" x14ac:dyDescent="0.3">
      <c r="A296" s="3" t="s">
        <v>51</v>
      </c>
      <c r="B296" s="3" t="s">
        <v>50</v>
      </c>
      <c r="C296" s="3" t="s">
        <v>32</v>
      </c>
      <c r="D296" s="3" t="s">
        <v>17</v>
      </c>
      <c r="E296" s="3" t="s">
        <v>18</v>
      </c>
      <c r="F296" s="3">
        <v>31</v>
      </c>
      <c r="G296" s="3">
        <v>9.1300000000000008</v>
      </c>
      <c r="H296" s="3">
        <v>0.06</v>
      </c>
      <c r="I296" s="3">
        <v>0.87</v>
      </c>
      <c r="J296" s="3">
        <v>3.65</v>
      </c>
      <c r="K296" s="3">
        <v>0</v>
      </c>
      <c r="L296" s="3">
        <v>28.7</v>
      </c>
      <c r="M296" s="4" t="str">
        <f t="shared" si="1"/>
        <v>High</v>
      </c>
    </row>
    <row r="297" spans="1:13" ht="14.25" customHeight="1" x14ac:dyDescent="0.3">
      <c r="A297" s="3" t="s">
        <v>51</v>
      </c>
      <c r="B297" s="3" t="s">
        <v>50</v>
      </c>
      <c r="C297" s="3" t="s">
        <v>32</v>
      </c>
      <c r="D297" s="3" t="s">
        <v>19</v>
      </c>
      <c r="E297" s="3" t="s">
        <v>26</v>
      </c>
      <c r="F297" s="3">
        <v>78</v>
      </c>
      <c r="G297" s="3">
        <v>7.24</v>
      </c>
      <c r="H297" s="3">
        <v>0.05</v>
      </c>
      <c r="I297" s="3">
        <v>0.79</v>
      </c>
      <c r="J297" s="3">
        <v>3.71</v>
      </c>
      <c r="K297" s="3">
        <v>0</v>
      </c>
      <c r="L297" s="3">
        <v>25.86</v>
      </c>
      <c r="M297" s="4" t="str">
        <f t="shared" si="1"/>
        <v>Low</v>
      </c>
    </row>
    <row r="298" spans="1:13" ht="14.25" customHeight="1" x14ac:dyDescent="0.3">
      <c r="A298" s="3" t="s">
        <v>51</v>
      </c>
      <c r="B298" s="3" t="s">
        <v>50</v>
      </c>
      <c r="C298" s="3" t="s">
        <v>32</v>
      </c>
      <c r="D298" s="3" t="s">
        <v>21</v>
      </c>
      <c r="E298" s="3" t="s">
        <v>26</v>
      </c>
      <c r="F298" s="3">
        <v>51</v>
      </c>
      <c r="G298" s="3">
        <v>6.53</v>
      </c>
      <c r="H298" s="3">
        <v>0.05</v>
      </c>
      <c r="I298" s="3">
        <v>0.84</v>
      </c>
      <c r="J298" s="3">
        <v>4.2300000000000004</v>
      </c>
      <c r="K298" s="3">
        <v>1</v>
      </c>
      <c r="L298" s="3">
        <v>26.8</v>
      </c>
      <c r="M298" s="4" t="str">
        <f t="shared" si="1"/>
        <v>Low</v>
      </c>
    </row>
    <row r="299" spans="1:13" ht="14.25" customHeight="1" x14ac:dyDescent="0.3">
      <c r="A299" s="3" t="s">
        <v>51</v>
      </c>
      <c r="B299" s="3" t="s">
        <v>50</v>
      </c>
      <c r="C299" s="3" t="s">
        <v>33</v>
      </c>
      <c r="D299" s="3" t="s">
        <v>17</v>
      </c>
      <c r="E299" s="3" t="s">
        <v>18</v>
      </c>
      <c r="F299" s="3">
        <v>31</v>
      </c>
      <c r="G299" s="3">
        <v>7.96</v>
      </c>
      <c r="H299" s="3">
        <v>0.03</v>
      </c>
      <c r="I299" s="3">
        <v>0.82</v>
      </c>
      <c r="J299" s="3">
        <v>4.68</v>
      </c>
      <c r="K299" s="3">
        <v>0</v>
      </c>
      <c r="L299" s="3">
        <v>26.94</v>
      </c>
      <c r="M299" s="4" t="str">
        <f t="shared" si="1"/>
        <v>Low</v>
      </c>
    </row>
    <row r="300" spans="1:13" ht="14.25" customHeight="1" x14ac:dyDescent="0.3">
      <c r="A300" s="3" t="s">
        <v>51</v>
      </c>
      <c r="B300" s="3" t="s">
        <v>50</v>
      </c>
      <c r="C300" s="3" t="s">
        <v>33</v>
      </c>
      <c r="D300" s="3" t="s">
        <v>19</v>
      </c>
      <c r="E300" s="3" t="s">
        <v>18</v>
      </c>
      <c r="F300" s="3">
        <v>35</v>
      </c>
      <c r="G300" s="3">
        <v>6.7</v>
      </c>
      <c r="H300" s="3">
        <v>7.0000000000000007E-2</v>
      </c>
      <c r="I300" s="3">
        <v>0.76</v>
      </c>
      <c r="J300" s="3">
        <v>4.07</v>
      </c>
      <c r="K300" s="3">
        <v>0</v>
      </c>
      <c r="L300" s="3">
        <v>25.05</v>
      </c>
      <c r="M300" s="4" t="str">
        <f t="shared" si="1"/>
        <v>Low</v>
      </c>
    </row>
    <row r="301" spans="1:13" ht="14.25" customHeight="1" x14ac:dyDescent="0.3">
      <c r="A301" s="3" t="s">
        <v>51</v>
      </c>
      <c r="B301" s="3" t="s">
        <v>50</v>
      </c>
      <c r="C301" s="3" t="s">
        <v>33</v>
      </c>
      <c r="D301" s="3" t="s">
        <v>21</v>
      </c>
      <c r="E301" s="3" t="s">
        <v>22</v>
      </c>
      <c r="F301" s="3">
        <v>37</v>
      </c>
      <c r="G301" s="3">
        <v>5.37</v>
      </c>
      <c r="H301" s="3">
        <v>0.12</v>
      </c>
      <c r="I301" s="3">
        <v>0.8</v>
      </c>
      <c r="J301" s="3">
        <v>4.25</v>
      </c>
      <c r="K301" s="3">
        <v>1</v>
      </c>
      <c r="L301" s="3">
        <v>25.06</v>
      </c>
      <c r="M301" s="4" t="str">
        <f t="shared" si="1"/>
        <v>Low</v>
      </c>
    </row>
    <row r="302" spans="1:13" ht="14.25" customHeight="1" x14ac:dyDescent="0.3">
      <c r="A302" s="3" t="s">
        <v>52</v>
      </c>
      <c r="B302" s="3" t="s">
        <v>15</v>
      </c>
      <c r="C302" s="3" t="s">
        <v>16</v>
      </c>
      <c r="D302" s="3" t="s">
        <v>17</v>
      </c>
      <c r="E302" s="3" t="s">
        <v>26</v>
      </c>
      <c r="F302" s="3">
        <v>76</v>
      </c>
      <c r="G302" s="3">
        <v>3.24</v>
      </c>
      <c r="H302" s="3">
        <v>0.09</v>
      </c>
      <c r="I302" s="3">
        <v>0.77</v>
      </c>
      <c r="J302" s="3">
        <v>4.3</v>
      </c>
      <c r="K302" s="3">
        <v>0</v>
      </c>
      <c r="L302" s="3">
        <v>19.86</v>
      </c>
      <c r="M302" s="4" t="str">
        <f t="shared" si="1"/>
        <v>Low</v>
      </c>
    </row>
    <row r="303" spans="1:13" ht="14.25" customHeight="1" x14ac:dyDescent="0.3">
      <c r="A303" s="3" t="s">
        <v>52</v>
      </c>
      <c r="B303" s="3" t="s">
        <v>15</v>
      </c>
      <c r="C303" s="3" t="s">
        <v>16</v>
      </c>
      <c r="D303" s="3" t="s">
        <v>19</v>
      </c>
      <c r="E303" s="3" t="s">
        <v>26</v>
      </c>
      <c r="F303" s="3">
        <v>72</v>
      </c>
      <c r="G303" s="3">
        <v>7.06</v>
      </c>
      <c r="H303" s="3">
        <v>0.15</v>
      </c>
      <c r="I303" s="3">
        <v>0.77</v>
      </c>
      <c r="J303" s="3">
        <v>3.76</v>
      </c>
      <c r="K303" s="3">
        <v>0</v>
      </c>
      <c r="L303" s="3">
        <v>25.59</v>
      </c>
      <c r="M303" s="4" t="str">
        <f t="shared" si="1"/>
        <v>Low</v>
      </c>
    </row>
    <row r="304" spans="1:13" ht="14.25" customHeight="1" x14ac:dyDescent="0.3">
      <c r="A304" s="3" t="s">
        <v>52</v>
      </c>
      <c r="B304" s="3" t="s">
        <v>15</v>
      </c>
      <c r="C304" s="3" t="s">
        <v>16</v>
      </c>
      <c r="D304" s="3" t="s">
        <v>21</v>
      </c>
      <c r="E304" s="3" t="s">
        <v>26</v>
      </c>
      <c r="F304" s="3">
        <v>77</v>
      </c>
      <c r="G304" s="3">
        <v>5.8</v>
      </c>
      <c r="H304" s="3">
        <v>0.1</v>
      </c>
      <c r="I304" s="3">
        <v>0.62</v>
      </c>
      <c r="J304" s="3">
        <v>4.6500000000000004</v>
      </c>
      <c r="K304" s="3">
        <v>2</v>
      </c>
      <c r="L304" s="3">
        <v>27.7</v>
      </c>
      <c r="M304" s="4" t="str">
        <f t="shared" si="1"/>
        <v>High</v>
      </c>
    </row>
    <row r="305" spans="1:13" ht="14.25" customHeight="1" x14ac:dyDescent="0.3">
      <c r="A305" s="3" t="s">
        <v>52</v>
      </c>
      <c r="B305" s="3" t="s">
        <v>15</v>
      </c>
      <c r="C305" s="3" t="s">
        <v>24</v>
      </c>
      <c r="D305" s="3" t="s">
        <v>17</v>
      </c>
      <c r="E305" s="3" t="s">
        <v>18</v>
      </c>
      <c r="F305" s="3">
        <v>45</v>
      </c>
      <c r="G305" s="3">
        <v>4.84</v>
      </c>
      <c r="H305" s="3">
        <v>0.15</v>
      </c>
      <c r="I305" s="3">
        <v>0.82</v>
      </c>
      <c r="J305" s="3">
        <v>3.66</v>
      </c>
      <c r="K305" s="3">
        <v>1</v>
      </c>
      <c r="L305" s="3">
        <v>24.26</v>
      </c>
      <c r="M305" s="4" t="str">
        <f t="shared" si="1"/>
        <v>Low</v>
      </c>
    </row>
    <row r="306" spans="1:13" ht="14.25" customHeight="1" x14ac:dyDescent="0.3">
      <c r="A306" s="3" t="s">
        <v>52</v>
      </c>
      <c r="B306" s="3" t="s">
        <v>15</v>
      </c>
      <c r="C306" s="3" t="s">
        <v>24</v>
      </c>
      <c r="D306" s="3" t="s">
        <v>19</v>
      </c>
      <c r="E306" s="3" t="s">
        <v>18</v>
      </c>
      <c r="F306" s="3">
        <v>57</v>
      </c>
      <c r="G306" s="3">
        <v>5.81</v>
      </c>
      <c r="H306" s="3">
        <v>0.04</v>
      </c>
      <c r="I306" s="3">
        <v>0.75</v>
      </c>
      <c r="J306" s="3">
        <v>4.2300000000000004</v>
      </c>
      <c r="K306" s="3">
        <v>0</v>
      </c>
      <c r="L306" s="3">
        <v>23.72</v>
      </c>
      <c r="M306" s="4" t="str">
        <f t="shared" si="1"/>
        <v>Low</v>
      </c>
    </row>
    <row r="307" spans="1:13" ht="14.25" customHeight="1" x14ac:dyDescent="0.3">
      <c r="A307" s="3" t="s">
        <v>52</v>
      </c>
      <c r="B307" s="3" t="s">
        <v>15</v>
      </c>
      <c r="C307" s="3" t="s">
        <v>24</v>
      </c>
      <c r="D307" s="3" t="s">
        <v>21</v>
      </c>
      <c r="E307" s="3" t="s">
        <v>26</v>
      </c>
      <c r="F307" s="3">
        <v>63</v>
      </c>
      <c r="G307" s="3">
        <v>6.99</v>
      </c>
      <c r="H307" s="3">
        <v>0.05</v>
      </c>
      <c r="I307" s="3">
        <v>0.69</v>
      </c>
      <c r="J307" s="3">
        <v>4.7699999999999996</v>
      </c>
      <c r="K307" s="3">
        <v>0</v>
      </c>
      <c r="L307" s="3">
        <v>25.48</v>
      </c>
      <c r="M307" s="4" t="str">
        <f t="shared" si="1"/>
        <v>Low</v>
      </c>
    </row>
    <row r="308" spans="1:13" ht="14.25" customHeight="1" x14ac:dyDescent="0.3">
      <c r="A308" s="3" t="s">
        <v>52</v>
      </c>
      <c r="B308" s="3" t="s">
        <v>15</v>
      </c>
      <c r="C308" s="3" t="s">
        <v>29</v>
      </c>
      <c r="D308" s="3" t="s">
        <v>17</v>
      </c>
      <c r="E308" s="3" t="s">
        <v>22</v>
      </c>
      <c r="F308" s="3">
        <v>67</v>
      </c>
      <c r="G308" s="3">
        <v>7.81</v>
      </c>
      <c r="H308" s="3">
        <v>0.13</v>
      </c>
      <c r="I308" s="3">
        <v>0.82</v>
      </c>
      <c r="J308" s="3">
        <v>4.57</v>
      </c>
      <c r="K308" s="3">
        <v>0</v>
      </c>
      <c r="L308" s="3">
        <v>26.72</v>
      </c>
      <c r="M308" s="4" t="str">
        <f t="shared" si="1"/>
        <v>Low</v>
      </c>
    </row>
    <row r="309" spans="1:13" ht="14.25" customHeight="1" x14ac:dyDescent="0.3">
      <c r="A309" s="3" t="s">
        <v>52</v>
      </c>
      <c r="B309" s="3" t="s">
        <v>15</v>
      </c>
      <c r="C309" s="3" t="s">
        <v>29</v>
      </c>
      <c r="D309" s="3" t="s">
        <v>19</v>
      </c>
      <c r="E309" s="3" t="s">
        <v>18</v>
      </c>
      <c r="F309" s="3">
        <v>63</v>
      </c>
      <c r="G309" s="3">
        <v>6.35</v>
      </c>
      <c r="H309" s="3">
        <v>0.13</v>
      </c>
      <c r="I309" s="3">
        <v>0.88</v>
      </c>
      <c r="J309" s="3">
        <v>4.18</v>
      </c>
      <c r="K309" s="3">
        <v>0</v>
      </c>
      <c r="L309" s="3">
        <v>24.52</v>
      </c>
      <c r="M309" s="4" t="str">
        <f t="shared" si="1"/>
        <v>Low</v>
      </c>
    </row>
    <row r="310" spans="1:13" ht="14.25" customHeight="1" x14ac:dyDescent="0.3">
      <c r="A310" s="3" t="s">
        <v>52</v>
      </c>
      <c r="B310" s="3" t="s">
        <v>15</v>
      </c>
      <c r="C310" s="3" t="s">
        <v>29</v>
      </c>
      <c r="D310" s="3" t="s">
        <v>21</v>
      </c>
      <c r="E310" s="3" t="s">
        <v>22</v>
      </c>
      <c r="F310" s="3">
        <v>55</v>
      </c>
      <c r="G310" s="3">
        <v>5.76</v>
      </c>
      <c r="H310" s="3">
        <v>0.09</v>
      </c>
      <c r="I310" s="3">
        <v>0.69</v>
      </c>
      <c r="J310" s="3">
        <v>4.09</v>
      </c>
      <c r="K310" s="3">
        <v>1</v>
      </c>
      <c r="L310" s="3">
        <v>25.64</v>
      </c>
      <c r="M310" s="4" t="str">
        <f t="shared" si="1"/>
        <v>Low</v>
      </c>
    </row>
    <row r="311" spans="1:13" ht="14.25" customHeight="1" x14ac:dyDescent="0.3">
      <c r="A311" s="3" t="s">
        <v>52</v>
      </c>
      <c r="B311" s="3" t="s">
        <v>15</v>
      </c>
      <c r="C311" s="3" t="s">
        <v>32</v>
      </c>
      <c r="D311" s="3" t="s">
        <v>17</v>
      </c>
      <c r="E311" s="3" t="s">
        <v>18</v>
      </c>
      <c r="F311" s="3">
        <v>77</v>
      </c>
      <c r="G311" s="3">
        <v>5.63</v>
      </c>
      <c r="H311" s="3">
        <v>0.1</v>
      </c>
      <c r="I311" s="3">
        <v>0.86</v>
      </c>
      <c r="J311" s="3">
        <v>4.55</v>
      </c>
      <c r="K311" s="3">
        <v>2</v>
      </c>
      <c r="L311" s="3">
        <v>27.44</v>
      </c>
      <c r="M311" s="4" t="str">
        <f t="shared" si="1"/>
        <v>Low</v>
      </c>
    </row>
    <row r="312" spans="1:13" ht="14.25" customHeight="1" x14ac:dyDescent="0.3">
      <c r="A312" s="3" t="s">
        <v>52</v>
      </c>
      <c r="B312" s="3" t="s">
        <v>15</v>
      </c>
      <c r="C312" s="3" t="s">
        <v>32</v>
      </c>
      <c r="D312" s="3" t="s">
        <v>19</v>
      </c>
      <c r="E312" s="3" t="s">
        <v>22</v>
      </c>
      <c r="F312" s="3">
        <v>62</v>
      </c>
      <c r="G312" s="3">
        <v>6.37</v>
      </c>
      <c r="H312" s="3">
        <v>0.13</v>
      </c>
      <c r="I312" s="3">
        <v>0.85</v>
      </c>
      <c r="J312" s="3">
        <v>3.59</v>
      </c>
      <c r="K312" s="3">
        <v>0</v>
      </c>
      <c r="L312" s="3">
        <v>24.56</v>
      </c>
      <c r="M312" s="4" t="str">
        <f t="shared" si="1"/>
        <v>Low</v>
      </c>
    </row>
    <row r="313" spans="1:13" ht="14.25" customHeight="1" x14ac:dyDescent="0.3">
      <c r="A313" s="3" t="s">
        <v>52</v>
      </c>
      <c r="B313" s="3" t="s">
        <v>15</v>
      </c>
      <c r="C313" s="3" t="s">
        <v>32</v>
      </c>
      <c r="D313" s="3" t="s">
        <v>21</v>
      </c>
      <c r="E313" s="3" t="s">
        <v>26</v>
      </c>
      <c r="F313" s="3">
        <v>30</v>
      </c>
      <c r="G313" s="3">
        <v>5.21</v>
      </c>
      <c r="H313" s="3">
        <v>0.13</v>
      </c>
      <c r="I313" s="3">
        <v>0.67</v>
      </c>
      <c r="J313" s="3">
        <v>4.34</v>
      </c>
      <c r="K313" s="3">
        <v>1</v>
      </c>
      <c r="L313" s="3">
        <v>24.82</v>
      </c>
      <c r="M313" s="4" t="str">
        <f t="shared" si="1"/>
        <v>Low</v>
      </c>
    </row>
    <row r="314" spans="1:13" ht="14.25" customHeight="1" x14ac:dyDescent="0.3">
      <c r="A314" s="3" t="s">
        <v>52</v>
      </c>
      <c r="B314" s="3" t="s">
        <v>15</v>
      </c>
      <c r="C314" s="3" t="s">
        <v>33</v>
      </c>
      <c r="D314" s="3" t="s">
        <v>17</v>
      </c>
      <c r="E314" s="3" t="s">
        <v>18</v>
      </c>
      <c r="F314" s="3">
        <v>67</v>
      </c>
      <c r="G314" s="3">
        <v>5.41</v>
      </c>
      <c r="H314" s="3">
        <v>0.12</v>
      </c>
      <c r="I314" s="3">
        <v>0.81</v>
      </c>
      <c r="J314" s="3">
        <v>4.49</v>
      </c>
      <c r="K314" s="3">
        <v>2</v>
      </c>
      <c r="L314" s="3">
        <v>27.12</v>
      </c>
      <c r="M314" s="4" t="str">
        <f t="shared" si="1"/>
        <v>Low</v>
      </c>
    </row>
    <row r="315" spans="1:13" ht="14.25" customHeight="1" x14ac:dyDescent="0.3">
      <c r="A315" s="3" t="s">
        <v>52</v>
      </c>
      <c r="B315" s="3" t="s">
        <v>15</v>
      </c>
      <c r="C315" s="3" t="s">
        <v>33</v>
      </c>
      <c r="D315" s="3" t="s">
        <v>19</v>
      </c>
      <c r="E315" s="3" t="s">
        <v>22</v>
      </c>
      <c r="F315" s="3">
        <v>38</v>
      </c>
      <c r="G315" s="3">
        <v>5.81</v>
      </c>
      <c r="H315" s="3">
        <v>0.25</v>
      </c>
      <c r="I315" s="3">
        <v>0.85</v>
      </c>
      <c r="J315" s="3">
        <v>3.84</v>
      </c>
      <c r="K315" s="3">
        <v>2</v>
      </c>
      <c r="L315" s="3">
        <v>27.72</v>
      </c>
      <c r="M315" s="4" t="str">
        <f t="shared" si="1"/>
        <v>High</v>
      </c>
    </row>
    <row r="316" spans="1:13" ht="14.25" customHeight="1" x14ac:dyDescent="0.3">
      <c r="A316" s="3" t="s">
        <v>52</v>
      </c>
      <c r="B316" s="3" t="s">
        <v>15</v>
      </c>
      <c r="C316" s="3" t="s">
        <v>33</v>
      </c>
      <c r="D316" s="3" t="s">
        <v>21</v>
      </c>
      <c r="E316" s="3" t="s">
        <v>18</v>
      </c>
      <c r="F316" s="3">
        <v>52</v>
      </c>
      <c r="G316" s="3">
        <v>5.62</v>
      </c>
      <c r="H316" s="3">
        <v>7.0000000000000007E-2</v>
      </c>
      <c r="I316" s="3">
        <v>0.66</v>
      </c>
      <c r="J316" s="3">
        <v>4</v>
      </c>
      <c r="K316" s="3">
        <v>0</v>
      </c>
      <c r="L316" s="3">
        <v>23.43</v>
      </c>
      <c r="M316" s="4" t="str">
        <f t="shared" si="1"/>
        <v>Low</v>
      </c>
    </row>
    <row r="317" spans="1:13" ht="14.25" customHeight="1" x14ac:dyDescent="0.3">
      <c r="A317" s="3" t="s">
        <v>52</v>
      </c>
      <c r="B317" s="3" t="s">
        <v>38</v>
      </c>
      <c r="C317" s="3" t="s">
        <v>16</v>
      </c>
      <c r="D317" s="3" t="s">
        <v>17</v>
      </c>
      <c r="E317" s="3" t="s">
        <v>18</v>
      </c>
      <c r="F317" s="3">
        <v>43</v>
      </c>
      <c r="G317" s="3">
        <v>4.8600000000000003</v>
      </c>
      <c r="H317" s="3">
        <v>0.08</v>
      </c>
      <c r="I317" s="3">
        <v>0.75</v>
      </c>
      <c r="J317" s="3">
        <v>4.05</v>
      </c>
      <c r="K317" s="3">
        <v>0</v>
      </c>
      <c r="L317" s="3">
        <v>22.29</v>
      </c>
      <c r="M317" s="4" t="str">
        <f t="shared" si="1"/>
        <v>Low</v>
      </c>
    </row>
    <row r="318" spans="1:13" ht="14.25" customHeight="1" x14ac:dyDescent="0.3">
      <c r="A318" s="3" t="s">
        <v>52</v>
      </c>
      <c r="B318" s="3" t="s">
        <v>38</v>
      </c>
      <c r="C318" s="3" t="s">
        <v>16</v>
      </c>
      <c r="D318" s="3" t="s">
        <v>19</v>
      </c>
      <c r="E318" s="3" t="s">
        <v>26</v>
      </c>
      <c r="F318" s="3">
        <v>51</v>
      </c>
      <c r="G318" s="3">
        <v>5.56</v>
      </c>
      <c r="H318" s="3">
        <v>0.14000000000000001</v>
      </c>
      <c r="I318" s="3">
        <v>0.86</v>
      </c>
      <c r="J318" s="3">
        <v>4.55</v>
      </c>
      <c r="K318" s="3">
        <v>0</v>
      </c>
      <c r="L318" s="3">
        <v>23.34</v>
      </c>
      <c r="M318" s="4" t="str">
        <f t="shared" si="1"/>
        <v>Low</v>
      </c>
    </row>
    <row r="319" spans="1:13" ht="14.25" customHeight="1" x14ac:dyDescent="0.3">
      <c r="A319" s="3" t="s">
        <v>52</v>
      </c>
      <c r="B319" s="3" t="s">
        <v>38</v>
      </c>
      <c r="C319" s="3" t="s">
        <v>16</v>
      </c>
      <c r="D319" s="3" t="s">
        <v>21</v>
      </c>
      <c r="E319" s="3" t="s">
        <v>26</v>
      </c>
      <c r="F319" s="3">
        <v>38</v>
      </c>
      <c r="G319" s="3">
        <v>6.75</v>
      </c>
      <c r="H319" s="3">
        <v>0.06</v>
      </c>
      <c r="I319" s="3">
        <v>0.81</v>
      </c>
      <c r="J319" s="3">
        <v>3.87</v>
      </c>
      <c r="K319" s="3">
        <v>2</v>
      </c>
      <c r="L319" s="3">
        <v>29.12</v>
      </c>
      <c r="M319" s="4" t="str">
        <f t="shared" si="1"/>
        <v>High</v>
      </c>
    </row>
    <row r="320" spans="1:13" ht="14.25" customHeight="1" x14ac:dyDescent="0.3">
      <c r="A320" s="3" t="s">
        <v>52</v>
      </c>
      <c r="B320" s="3" t="s">
        <v>38</v>
      </c>
      <c r="C320" s="3" t="s">
        <v>24</v>
      </c>
      <c r="D320" s="3" t="s">
        <v>17</v>
      </c>
      <c r="E320" s="3" t="s">
        <v>22</v>
      </c>
      <c r="F320" s="3">
        <v>67</v>
      </c>
      <c r="G320" s="3">
        <v>4.3</v>
      </c>
      <c r="H320" s="3">
        <v>0.26</v>
      </c>
      <c r="I320" s="3">
        <v>0.76</v>
      </c>
      <c r="J320" s="3">
        <v>3.79</v>
      </c>
      <c r="K320" s="3">
        <v>1</v>
      </c>
      <c r="L320" s="3">
        <v>23.45</v>
      </c>
      <c r="M320" s="4" t="str">
        <f t="shared" si="1"/>
        <v>Low</v>
      </c>
    </row>
    <row r="321" spans="1:13" ht="14.25" customHeight="1" x14ac:dyDescent="0.3">
      <c r="A321" s="3" t="s">
        <v>52</v>
      </c>
      <c r="B321" s="3" t="s">
        <v>38</v>
      </c>
      <c r="C321" s="3" t="s">
        <v>24</v>
      </c>
      <c r="D321" s="3" t="s">
        <v>19</v>
      </c>
      <c r="E321" s="3" t="s">
        <v>18</v>
      </c>
      <c r="F321" s="3">
        <v>33</v>
      </c>
      <c r="G321" s="3">
        <v>6.53</v>
      </c>
      <c r="H321" s="3">
        <v>0.13</v>
      </c>
      <c r="I321" s="3">
        <v>0.88</v>
      </c>
      <c r="J321" s="3">
        <v>3.93</v>
      </c>
      <c r="K321" s="3">
        <v>0</v>
      </c>
      <c r="L321" s="3">
        <v>24.8</v>
      </c>
      <c r="M321" s="4" t="str">
        <f t="shared" si="1"/>
        <v>Low</v>
      </c>
    </row>
    <row r="322" spans="1:13" ht="14.25" customHeight="1" x14ac:dyDescent="0.3">
      <c r="A322" s="3" t="s">
        <v>52</v>
      </c>
      <c r="B322" s="3" t="s">
        <v>38</v>
      </c>
      <c r="C322" s="3" t="s">
        <v>24</v>
      </c>
      <c r="D322" s="3" t="s">
        <v>21</v>
      </c>
      <c r="E322" s="3" t="s">
        <v>26</v>
      </c>
      <c r="F322" s="3">
        <v>45</v>
      </c>
      <c r="G322" s="3">
        <v>6.73</v>
      </c>
      <c r="H322" s="3">
        <v>0.02</v>
      </c>
      <c r="I322" s="3">
        <v>0.75</v>
      </c>
      <c r="J322" s="3">
        <v>4.79</v>
      </c>
      <c r="K322" s="3">
        <v>2</v>
      </c>
      <c r="L322" s="3">
        <v>29.1</v>
      </c>
      <c r="M322" s="4" t="str">
        <f t="shared" si="1"/>
        <v>High</v>
      </c>
    </row>
    <row r="323" spans="1:13" ht="14.25" customHeight="1" x14ac:dyDescent="0.3">
      <c r="A323" s="3" t="s">
        <v>52</v>
      </c>
      <c r="B323" s="3" t="s">
        <v>38</v>
      </c>
      <c r="C323" s="3" t="s">
        <v>29</v>
      </c>
      <c r="D323" s="3" t="s">
        <v>17</v>
      </c>
      <c r="E323" s="3" t="s">
        <v>18</v>
      </c>
      <c r="F323" s="3">
        <v>34</v>
      </c>
      <c r="G323" s="3">
        <v>5.35</v>
      </c>
      <c r="H323" s="3">
        <v>0.05</v>
      </c>
      <c r="I323" s="3">
        <v>0.78</v>
      </c>
      <c r="J323" s="3">
        <v>4.13</v>
      </c>
      <c r="K323" s="3">
        <v>1</v>
      </c>
      <c r="L323" s="3">
        <v>25.02</v>
      </c>
      <c r="M323" s="4" t="str">
        <f t="shared" si="1"/>
        <v>Low</v>
      </c>
    </row>
    <row r="324" spans="1:13" ht="14.25" customHeight="1" x14ac:dyDescent="0.3">
      <c r="A324" s="3" t="s">
        <v>52</v>
      </c>
      <c r="B324" s="3" t="s">
        <v>38</v>
      </c>
      <c r="C324" s="3" t="s">
        <v>29</v>
      </c>
      <c r="D324" s="3" t="s">
        <v>19</v>
      </c>
      <c r="E324" s="3" t="s">
        <v>18</v>
      </c>
      <c r="F324" s="3">
        <v>38</v>
      </c>
      <c r="G324" s="3">
        <v>6.98</v>
      </c>
      <c r="H324" s="3">
        <v>0.13</v>
      </c>
      <c r="I324" s="3">
        <v>0.84</v>
      </c>
      <c r="J324" s="3">
        <v>4.17</v>
      </c>
      <c r="K324" s="3">
        <v>0</v>
      </c>
      <c r="L324" s="3">
        <v>25.47</v>
      </c>
      <c r="M324" s="4" t="str">
        <f t="shared" si="1"/>
        <v>Low</v>
      </c>
    </row>
    <row r="325" spans="1:13" ht="14.25" customHeight="1" x14ac:dyDescent="0.3">
      <c r="A325" s="3" t="s">
        <v>52</v>
      </c>
      <c r="B325" s="3" t="s">
        <v>38</v>
      </c>
      <c r="C325" s="3" t="s">
        <v>29</v>
      </c>
      <c r="D325" s="3" t="s">
        <v>21</v>
      </c>
      <c r="E325" s="3" t="s">
        <v>18</v>
      </c>
      <c r="F325" s="3">
        <v>41</v>
      </c>
      <c r="G325" s="3">
        <v>6.5</v>
      </c>
      <c r="H325" s="3">
        <v>0.08</v>
      </c>
      <c r="I325" s="3">
        <v>0.63</v>
      </c>
      <c r="J325" s="3">
        <v>3.94</v>
      </c>
      <c r="K325" s="3">
        <v>0</v>
      </c>
      <c r="L325" s="3">
        <v>24.75</v>
      </c>
      <c r="M325" s="4" t="str">
        <f t="shared" si="1"/>
        <v>Low</v>
      </c>
    </row>
    <row r="326" spans="1:13" ht="14.25" customHeight="1" x14ac:dyDescent="0.3">
      <c r="A326" s="3" t="s">
        <v>52</v>
      </c>
      <c r="B326" s="3" t="s">
        <v>38</v>
      </c>
      <c r="C326" s="3" t="s">
        <v>32</v>
      </c>
      <c r="D326" s="3" t="s">
        <v>17</v>
      </c>
      <c r="E326" s="3" t="s">
        <v>22</v>
      </c>
      <c r="F326" s="3">
        <v>50</v>
      </c>
      <c r="G326" s="3">
        <v>7.22</v>
      </c>
      <c r="H326" s="3">
        <v>0.23</v>
      </c>
      <c r="I326" s="3">
        <v>0.79</v>
      </c>
      <c r="J326" s="3">
        <v>4.17</v>
      </c>
      <c r="K326" s="3">
        <v>0</v>
      </c>
      <c r="L326" s="3">
        <v>25.83</v>
      </c>
      <c r="M326" s="4" t="str">
        <f t="shared" si="1"/>
        <v>Low</v>
      </c>
    </row>
    <row r="327" spans="1:13" ht="14.25" customHeight="1" x14ac:dyDescent="0.3">
      <c r="A327" s="3" t="s">
        <v>52</v>
      </c>
      <c r="B327" s="3" t="s">
        <v>38</v>
      </c>
      <c r="C327" s="3" t="s">
        <v>32</v>
      </c>
      <c r="D327" s="3" t="s">
        <v>19</v>
      </c>
      <c r="E327" s="3" t="s">
        <v>18</v>
      </c>
      <c r="F327" s="3">
        <v>74</v>
      </c>
      <c r="G327" s="3">
        <v>7.75</v>
      </c>
      <c r="H327" s="3">
        <v>0.15</v>
      </c>
      <c r="I327" s="3">
        <v>0.79</v>
      </c>
      <c r="J327" s="3">
        <v>3.85</v>
      </c>
      <c r="K327" s="3">
        <v>0</v>
      </c>
      <c r="L327" s="3">
        <v>26.62</v>
      </c>
      <c r="M327" s="4" t="str">
        <f t="shared" si="1"/>
        <v>Low</v>
      </c>
    </row>
    <row r="328" spans="1:13" ht="14.25" customHeight="1" x14ac:dyDescent="0.3">
      <c r="A328" s="3" t="s">
        <v>52</v>
      </c>
      <c r="B328" s="3" t="s">
        <v>38</v>
      </c>
      <c r="C328" s="3" t="s">
        <v>32</v>
      </c>
      <c r="D328" s="3" t="s">
        <v>21</v>
      </c>
      <c r="E328" s="3" t="s">
        <v>26</v>
      </c>
      <c r="F328" s="3">
        <v>37</v>
      </c>
      <c r="G328" s="3">
        <v>5.38</v>
      </c>
      <c r="H328" s="3">
        <v>0.05</v>
      </c>
      <c r="I328" s="3">
        <v>0.69</v>
      </c>
      <c r="J328" s="3">
        <v>4.1100000000000003</v>
      </c>
      <c r="K328" s="3">
        <v>0</v>
      </c>
      <c r="L328" s="3">
        <v>23.07</v>
      </c>
      <c r="M328" s="4" t="str">
        <f t="shared" si="1"/>
        <v>Low</v>
      </c>
    </row>
    <row r="329" spans="1:13" ht="14.25" customHeight="1" x14ac:dyDescent="0.3">
      <c r="A329" s="3" t="s">
        <v>52</v>
      </c>
      <c r="B329" s="3" t="s">
        <v>38</v>
      </c>
      <c r="C329" s="3" t="s">
        <v>33</v>
      </c>
      <c r="D329" s="3" t="s">
        <v>17</v>
      </c>
      <c r="E329" s="3" t="s">
        <v>22</v>
      </c>
      <c r="F329" s="3">
        <v>71</v>
      </c>
      <c r="G329" s="3">
        <v>6.19</v>
      </c>
      <c r="H329" s="3">
        <v>0.28999999999999998</v>
      </c>
      <c r="I329" s="3">
        <v>0.8</v>
      </c>
      <c r="J329" s="3">
        <v>4.13</v>
      </c>
      <c r="K329" s="3">
        <v>0</v>
      </c>
      <c r="L329" s="3">
        <v>24.28</v>
      </c>
      <c r="M329" s="4" t="str">
        <f t="shared" si="1"/>
        <v>Low</v>
      </c>
    </row>
    <row r="330" spans="1:13" ht="14.25" customHeight="1" x14ac:dyDescent="0.3">
      <c r="A330" s="3" t="s">
        <v>52</v>
      </c>
      <c r="B330" s="3" t="s">
        <v>38</v>
      </c>
      <c r="C330" s="3" t="s">
        <v>33</v>
      </c>
      <c r="D330" s="3" t="s">
        <v>19</v>
      </c>
      <c r="E330" s="3" t="s">
        <v>18</v>
      </c>
      <c r="F330" s="3">
        <v>74</v>
      </c>
      <c r="G330" s="3">
        <v>8.48</v>
      </c>
      <c r="H330" s="3">
        <v>0.09</v>
      </c>
      <c r="I330" s="3">
        <v>0.88</v>
      </c>
      <c r="J330" s="3">
        <v>3.56</v>
      </c>
      <c r="K330" s="3">
        <v>2</v>
      </c>
      <c r="L330" s="3">
        <v>31.72</v>
      </c>
      <c r="M330" s="4" t="str">
        <f t="shared" si="1"/>
        <v>High</v>
      </c>
    </row>
    <row r="331" spans="1:13" ht="14.25" customHeight="1" x14ac:dyDescent="0.3">
      <c r="A331" s="3" t="s">
        <v>52</v>
      </c>
      <c r="B331" s="3" t="s">
        <v>38</v>
      </c>
      <c r="C331" s="3" t="s">
        <v>33</v>
      </c>
      <c r="D331" s="3" t="s">
        <v>21</v>
      </c>
      <c r="E331" s="3" t="s">
        <v>26</v>
      </c>
      <c r="F331" s="3">
        <v>62</v>
      </c>
      <c r="G331" s="3">
        <v>5.3</v>
      </c>
      <c r="H331" s="3">
        <v>0.06</v>
      </c>
      <c r="I331" s="3">
        <v>0.8</v>
      </c>
      <c r="J331" s="3">
        <v>4.24</v>
      </c>
      <c r="K331" s="3">
        <v>0</v>
      </c>
      <c r="L331" s="3">
        <v>22.95</v>
      </c>
      <c r="M331" s="4" t="str">
        <f t="shared" si="1"/>
        <v>Low</v>
      </c>
    </row>
    <row r="332" spans="1:13" ht="14.25" customHeight="1" x14ac:dyDescent="0.3">
      <c r="A332" s="3" t="s">
        <v>52</v>
      </c>
      <c r="B332" s="3" t="s">
        <v>43</v>
      </c>
      <c r="C332" s="3" t="s">
        <v>16</v>
      </c>
      <c r="D332" s="3" t="s">
        <v>17</v>
      </c>
      <c r="E332" s="3" t="s">
        <v>22</v>
      </c>
      <c r="F332" s="3">
        <v>70</v>
      </c>
      <c r="G332" s="3">
        <v>5.22</v>
      </c>
      <c r="H332" s="3">
        <v>0.2</v>
      </c>
      <c r="I332" s="3">
        <v>0.77</v>
      </c>
      <c r="J332" s="3">
        <v>3.95</v>
      </c>
      <c r="K332" s="3">
        <v>0</v>
      </c>
      <c r="L332" s="3">
        <v>22.83</v>
      </c>
      <c r="M332" s="4" t="str">
        <f t="shared" si="1"/>
        <v>Low</v>
      </c>
    </row>
    <row r="333" spans="1:13" ht="14.25" customHeight="1" x14ac:dyDescent="0.3">
      <c r="A333" s="3" t="s">
        <v>52</v>
      </c>
      <c r="B333" s="3" t="s">
        <v>43</v>
      </c>
      <c r="C333" s="3" t="s">
        <v>16</v>
      </c>
      <c r="D333" s="3" t="s">
        <v>19</v>
      </c>
      <c r="E333" s="3" t="s">
        <v>26</v>
      </c>
      <c r="F333" s="3">
        <v>42</v>
      </c>
      <c r="G333" s="3">
        <v>5.81</v>
      </c>
      <c r="H333" s="3">
        <v>0.11</v>
      </c>
      <c r="I333" s="3">
        <v>0.76</v>
      </c>
      <c r="J333" s="3">
        <v>4.09</v>
      </c>
      <c r="K333" s="3">
        <v>2</v>
      </c>
      <c r="L333" s="3">
        <v>27.72</v>
      </c>
      <c r="M333" s="4" t="str">
        <f t="shared" si="1"/>
        <v>High</v>
      </c>
    </row>
    <row r="334" spans="1:13" ht="14.25" customHeight="1" x14ac:dyDescent="0.3">
      <c r="A334" s="3" t="s">
        <v>52</v>
      </c>
      <c r="B334" s="3" t="s">
        <v>43</v>
      </c>
      <c r="C334" s="3" t="s">
        <v>16</v>
      </c>
      <c r="D334" s="3" t="s">
        <v>21</v>
      </c>
      <c r="E334" s="3" t="s">
        <v>22</v>
      </c>
      <c r="F334" s="3">
        <v>69</v>
      </c>
      <c r="G334" s="3">
        <v>4.2</v>
      </c>
      <c r="H334" s="3">
        <v>0.28000000000000003</v>
      </c>
      <c r="I334" s="3">
        <v>0.78</v>
      </c>
      <c r="J334" s="3">
        <v>4.29</v>
      </c>
      <c r="K334" s="3">
        <v>0</v>
      </c>
      <c r="L334" s="3">
        <v>21.3</v>
      </c>
      <c r="M334" s="4" t="str">
        <f t="shared" si="1"/>
        <v>Low</v>
      </c>
    </row>
    <row r="335" spans="1:13" ht="14.25" customHeight="1" x14ac:dyDescent="0.3">
      <c r="A335" s="3" t="s">
        <v>52</v>
      </c>
      <c r="B335" s="3" t="s">
        <v>43</v>
      </c>
      <c r="C335" s="3" t="s">
        <v>24</v>
      </c>
      <c r="D335" s="3" t="s">
        <v>17</v>
      </c>
      <c r="E335" s="3" t="s">
        <v>26</v>
      </c>
      <c r="F335" s="3">
        <v>68</v>
      </c>
      <c r="G335" s="3">
        <v>4.42</v>
      </c>
      <c r="H335" s="3">
        <v>0.14000000000000001</v>
      </c>
      <c r="I335" s="3">
        <v>0.86</v>
      </c>
      <c r="J335" s="3">
        <v>4.62</v>
      </c>
      <c r="K335" s="3">
        <v>0</v>
      </c>
      <c r="L335" s="3">
        <v>21.63</v>
      </c>
      <c r="M335" s="4" t="str">
        <f t="shared" si="1"/>
        <v>Low</v>
      </c>
    </row>
    <row r="336" spans="1:13" ht="14.25" customHeight="1" x14ac:dyDescent="0.3">
      <c r="A336" s="3" t="s">
        <v>52</v>
      </c>
      <c r="B336" s="3" t="s">
        <v>43</v>
      </c>
      <c r="C336" s="3" t="s">
        <v>24</v>
      </c>
      <c r="D336" s="3" t="s">
        <v>19</v>
      </c>
      <c r="E336" s="3" t="s">
        <v>26</v>
      </c>
      <c r="F336" s="3">
        <v>76</v>
      </c>
      <c r="G336" s="3">
        <v>6.14</v>
      </c>
      <c r="H336" s="3">
        <v>0.11</v>
      </c>
      <c r="I336" s="3">
        <v>0.77</v>
      </c>
      <c r="J336" s="3">
        <v>4</v>
      </c>
      <c r="K336" s="3">
        <v>0</v>
      </c>
      <c r="L336" s="3">
        <v>24.21</v>
      </c>
      <c r="M336" s="4" t="str">
        <f t="shared" si="1"/>
        <v>Low</v>
      </c>
    </row>
    <row r="337" spans="1:13" ht="14.25" customHeight="1" x14ac:dyDescent="0.3">
      <c r="A337" s="3" t="s">
        <v>52</v>
      </c>
      <c r="B337" s="3" t="s">
        <v>43</v>
      </c>
      <c r="C337" s="3" t="s">
        <v>24</v>
      </c>
      <c r="D337" s="3" t="s">
        <v>21</v>
      </c>
      <c r="E337" s="3" t="s">
        <v>18</v>
      </c>
      <c r="F337" s="3">
        <v>48</v>
      </c>
      <c r="G337" s="3">
        <v>5.39</v>
      </c>
      <c r="H337" s="3">
        <v>0.1</v>
      </c>
      <c r="I337" s="3">
        <v>0.74</v>
      </c>
      <c r="J337" s="3">
        <v>4.67</v>
      </c>
      <c r="K337" s="3">
        <v>0</v>
      </c>
      <c r="L337" s="3">
        <v>23.08</v>
      </c>
      <c r="M337" s="4" t="str">
        <f t="shared" si="1"/>
        <v>Low</v>
      </c>
    </row>
    <row r="338" spans="1:13" ht="14.25" customHeight="1" x14ac:dyDescent="0.3">
      <c r="A338" s="3" t="s">
        <v>52</v>
      </c>
      <c r="B338" s="3" t="s">
        <v>43</v>
      </c>
      <c r="C338" s="3" t="s">
        <v>29</v>
      </c>
      <c r="D338" s="3" t="s">
        <v>17</v>
      </c>
      <c r="E338" s="3" t="s">
        <v>18</v>
      </c>
      <c r="F338" s="3">
        <v>70</v>
      </c>
      <c r="G338" s="3">
        <v>6.17</v>
      </c>
      <c r="H338" s="3">
        <v>0.11</v>
      </c>
      <c r="I338" s="3">
        <v>0.8</v>
      </c>
      <c r="J338" s="3">
        <v>4.2699999999999996</v>
      </c>
      <c r="K338" s="3">
        <v>0</v>
      </c>
      <c r="L338" s="3">
        <v>24.26</v>
      </c>
      <c r="M338" s="4" t="str">
        <f t="shared" si="1"/>
        <v>Low</v>
      </c>
    </row>
    <row r="339" spans="1:13" ht="14.25" customHeight="1" x14ac:dyDescent="0.3">
      <c r="A339" s="3" t="s">
        <v>52</v>
      </c>
      <c r="B339" s="3" t="s">
        <v>43</v>
      </c>
      <c r="C339" s="3" t="s">
        <v>29</v>
      </c>
      <c r="D339" s="3" t="s">
        <v>19</v>
      </c>
      <c r="E339" s="3" t="s">
        <v>18</v>
      </c>
      <c r="F339" s="3">
        <v>38</v>
      </c>
      <c r="G339" s="3">
        <v>6.44</v>
      </c>
      <c r="H339" s="3">
        <v>0.1</v>
      </c>
      <c r="I339" s="3">
        <v>0.88</v>
      </c>
      <c r="J339" s="3">
        <v>4.4400000000000004</v>
      </c>
      <c r="K339" s="3">
        <v>0</v>
      </c>
      <c r="L339" s="3">
        <v>24.66</v>
      </c>
      <c r="M339" s="4" t="str">
        <f t="shared" si="1"/>
        <v>Low</v>
      </c>
    </row>
    <row r="340" spans="1:13" ht="14.25" customHeight="1" x14ac:dyDescent="0.3">
      <c r="A340" s="3" t="s">
        <v>52</v>
      </c>
      <c r="B340" s="3" t="s">
        <v>43</v>
      </c>
      <c r="C340" s="3" t="s">
        <v>29</v>
      </c>
      <c r="D340" s="3" t="s">
        <v>21</v>
      </c>
      <c r="E340" s="3" t="s">
        <v>26</v>
      </c>
      <c r="F340" s="3">
        <v>67</v>
      </c>
      <c r="G340" s="3">
        <v>6.56</v>
      </c>
      <c r="H340" s="3">
        <v>0.09</v>
      </c>
      <c r="I340" s="3">
        <v>0.71</v>
      </c>
      <c r="J340" s="3">
        <v>3.61</v>
      </c>
      <c r="K340" s="3">
        <v>0</v>
      </c>
      <c r="L340" s="3">
        <v>24.84</v>
      </c>
      <c r="M340" s="4" t="str">
        <f t="shared" si="1"/>
        <v>Low</v>
      </c>
    </row>
    <row r="341" spans="1:13" ht="14.25" customHeight="1" x14ac:dyDescent="0.3">
      <c r="A341" s="3" t="s">
        <v>52</v>
      </c>
      <c r="B341" s="3" t="s">
        <v>43</v>
      </c>
      <c r="C341" s="3" t="s">
        <v>32</v>
      </c>
      <c r="D341" s="3" t="s">
        <v>17</v>
      </c>
      <c r="E341" s="3" t="s">
        <v>26</v>
      </c>
      <c r="F341" s="3">
        <v>78</v>
      </c>
      <c r="G341" s="3">
        <v>6.92</v>
      </c>
      <c r="H341" s="3">
        <v>0.05</v>
      </c>
      <c r="I341" s="3">
        <v>0.82</v>
      </c>
      <c r="J341" s="3">
        <v>4.5599999999999996</v>
      </c>
      <c r="K341" s="3">
        <v>0</v>
      </c>
      <c r="L341" s="3">
        <v>25.38</v>
      </c>
      <c r="M341" s="4" t="str">
        <f t="shared" si="1"/>
        <v>Low</v>
      </c>
    </row>
    <row r="342" spans="1:13" ht="14.25" customHeight="1" x14ac:dyDescent="0.3">
      <c r="A342" s="3" t="s">
        <v>52</v>
      </c>
      <c r="B342" s="3" t="s">
        <v>43</v>
      </c>
      <c r="C342" s="3" t="s">
        <v>32</v>
      </c>
      <c r="D342" s="3" t="s">
        <v>19</v>
      </c>
      <c r="E342" s="3" t="s">
        <v>18</v>
      </c>
      <c r="F342" s="3">
        <v>72</v>
      </c>
      <c r="G342" s="3">
        <v>7.84</v>
      </c>
      <c r="H342" s="3">
        <v>0.06</v>
      </c>
      <c r="I342" s="3">
        <v>0.8</v>
      </c>
      <c r="J342" s="3">
        <v>4.53</v>
      </c>
      <c r="K342" s="3">
        <v>0</v>
      </c>
      <c r="L342" s="3">
        <v>26.76</v>
      </c>
      <c r="M342" s="4" t="str">
        <f t="shared" si="1"/>
        <v>Low</v>
      </c>
    </row>
    <row r="343" spans="1:13" ht="14.25" customHeight="1" x14ac:dyDescent="0.3">
      <c r="A343" s="3" t="s">
        <v>52</v>
      </c>
      <c r="B343" s="3" t="s">
        <v>43</v>
      </c>
      <c r="C343" s="3" t="s">
        <v>32</v>
      </c>
      <c r="D343" s="3" t="s">
        <v>21</v>
      </c>
      <c r="E343" s="3" t="s">
        <v>26</v>
      </c>
      <c r="F343" s="3">
        <v>32</v>
      </c>
      <c r="G343" s="3">
        <v>5.25</v>
      </c>
      <c r="H343" s="3">
        <v>0.08</v>
      </c>
      <c r="I343" s="3">
        <v>0.74</v>
      </c>
      <c r="J343" s="3">
        <v>4.49</v>
      </c>
      <c r="K343" s="3">
        <v>0</v>
      </c>
      <c r="L343" s="3">
        <v>22.88</v>
      </c>
      <c r="M343" s="4" t="str">
        <f t="shared" si="1"/>
        <v>Low</v>
      </c>
    </row>
    <row r="344" spans="1:13" ht="14.25" customHeight="1" x14ac:dyDescent="0.3">
      <c r="A344" s="3" t="s">
        <v>52</v>
      </c>
      <c r="B344" s="3" t="s">
        <v>43</v>
      </c>
      <c r="C344" s="3" t="s">
        <v>33</v>
      </c>
      <c r="D344" s="3" t="s">
        <v>17</v>
      </c>
      <c r="E344" s="3" t="s">
        <v>26</v>
      </c>
      <c r="F344" s="3">
        <v>61</v>
      </c>
      <c r="G344" s="3">
        <v>7.3</v>
      </c>
      <c r="H344" s="3">
        <v>0.11</v>
      </c>
      <c r="I344" s="3">
        <v>0.85</v>
      </c>
      <c r="J344" s="3">
        <v>3.99</v>
      </c>
      <c r="K344" s="3">
        <v>0</v>
      </c>
      <c r="L344" s="3">
        <v>25.95</v>
      </c>
      <c r="M344" s="4" t="str">
        <f t="shared" si="1"/>
        <v>Low</v>
      </c>
    </row>
    <row r="345" spans="1:13" ht="14.25" customHeight="1" x14ac:dyDescent="0.3">
      <c r="A345" s="3" t="s">
        <v>52</v>
      </c>
      <c r="B345" s="3" t="s">
        <v>43</v>
      </c>
      <c r="C345" s="3" t="s">
        <v>33</v>
      </c>
      <c r="D345" s="3" t="s">
        <v>19</v>
      </c>
      <c r="E345" s="3" t="s">
        <v>18</v>
      </c>
      <c r="F345" s="3">
        <v>33</v>
      </c>
      <c r="G345" s="3">
        <v>4.34</v>
      </c>
      <c r="H345" s="3">
        <v>0.03</v>
      </c>
      <c r="I345" s="3">
        <v>0.86</v>
      </c>
      <c r="J345" s="3">
        <v>4.7300000000000004</v>
      </c>
      <c r="K345" s="3">
        <v>0</v>
      </c>
      <c r="L345" s="3">
        <v>21.51</v>
      </c>
      <c r="M345" s="4" t="str">
        <f t="shared" si="1"/>
        <v>Low</v>
      </c>
    </row>
    <row r="346" spans="1:13" ht="14.25" customHeight="1" x14ac:dyDescent="0.3">
      <c r="A346" s="3" t="s">
        <v>52</v>
      </c>
      <c r="B346" s="3" t="s">
        <v>43</v>
      </c>
      <c r="C346" s="3" t="s">
        <v>33</v>
      </c>
      <c r="D346" s="3" t="s">
        <v>21</v>
      </c>
      <c r="E346" s="3" t="s">
        <v>18</v>
      </c>
      <c r="F346" s="3">
        <v>47</v>
      </c>
      <c r="G346" s="3">
        <v>4.59</v>
      </c>
      <c r="H346" s="3">
        <v>0.03</v>
      </c>
      <c r="I346" s="3">
        <v>0.7</v>
      </c>
      <c r="J346" s="3">
        <v>3.9</v>
      </c>
      <c r="K346" s="3">
        <v>1</v>
      </c>
      <c r="L346" s="3">
        <v>23.88</v>
      </c>
      <c r="M346" s="4" t="str">
        <f t="shared" si="1"/>
        <v>Low</v>
      </c>
    </row>
    <row r="347" spans="1:13" ht="14.25" customHeight="1" x14ac:dyDescent="0.3">
      <c r="A347" s="3" t="s">
        <v>52</v>
      </c>
      <c r="B347" s="3" t="s">
        <v>44</v>
      </c>
      <c r="C347" s="3" t="s">
        <v>16</v>
      </c>
      <c r="D347" s="3" t="s">
        <v>17</v>
      </c>
      <c r="E347" s="3" t="s">
        <v>18</v>
      </c>
      <c r="F347" s="3">
        <v>63</v>
      </c>
      <c r="G347" s="3">
        <v>7.21</v>
      </c>
      <c r="H347" s="3">
        <v>0.13</v>
      </c>
      <c r="I347" s="3">
        <v>0.84</v>
      </c>
      <c r="J347" s="3">
        <v>4.2300000000000004</v>
      </c>
      <c r="K347" s="3">
        <v>0</v>
      </c>
      <c r="L347" s="3">
        <v>25.82</v>
      </c>
      <c r="M347" s="4" t="str">
        <f t="shared" si="1"/>
        <v>Low</v>
      </c>
    </row>
    <row r="348" spans="1:13" ht="14.25" customHeight="1" x14ac:dyDescent="0.3">
      <c r="A348" s="3" t="s">
        <v>52</v>
      </c>
      <c r="B348" s="3" t="s">
        <v>44</v>
      </c>
      <c r="C348" s="3" t="s">
        <v>16</v>
      </c>
      <c r="D348" s="3" t="s">
        <v>19</v>
      </c>
      <c r="E348" s="3" t="s">
        <v>22</v>
      </c>
      <c r="F348" s="3">
        <v>79</v>
      </c>
      <c r="G348" s="3">
        <v>5.53</v>
      </c>
      <c r="H348" s="3">
        <v>0.18</v>
      </c>
      <c r="I348" s="3">
        <v>0.89</v>
      </c>
      <c r="J348" s="3">
        <v>4</v>
      </c>
      <c r="K348" s="3">
        <v>0</v>
      </c>
      <c r="L348" s="3">
        <v>23.3</v>
      </c>
      <c r="M348" s="4" t="str">
        <f t="shared" si="1"/>
        <v>Low</v>
      </c>
    </row>
    <row r="349" spans="1:13" ht="14.25" customHeight="1" x14ac:dyDescent="0.3">
      <c r="A349" s="3" t="s">
        <v>52</v>
      </c>
      <c r="B349" s="3" t="s">
        <v>44</v>
      </c>
      <c r="C349" s="3" t="s">
        <v>16</v>
      </c>
      <c r="D349" s="3" t="s">
        <v>21</v>
      </c>
      <c r="E349" s="3" t="s">
        <v>22</v>
      </c>
      <c r="F349" s="3">
        <v>56</v>
      </c>
      <c r="G349" s="3">
        <v>5.99</v>
      </c>
      <c r="H349" s="3">
        <v>0.09</v>
      </c>
      <c r="I349" s="3">
        <v>0.61</v>
      </c>
      <c r="J349" s="3">
        <v>4.4800000000000004</v>
      </c>
      <c r="K349" s="3">
        <v>0</v>
      </c>
      <c r="L349" s="3">
        <v>23.98</v>
      </c>
      <c r="M349" s="4" t="str">
        <f t="shared" si="1"/>
        <v>Low</v>
      </c>
    </row>
    <row r="350" spans="1:13" ht="14.25" customHeight="1" x14ac:dyDescent="0.3">
      <c r="A350" s="3" t="s">
        <v>52</v>
      </c>
      <c r="B350" s="3" t="s">
        <v>44</v>
      </c>
      <c r="C350" s="3" t="s">
        <v>24</v>
      </c>
      <c r="D350" s="3" t="s">
        <v>17</v>
      </c>
      <c r="E350" s="3" t="s">
        <v>22</v>
      </c>
      <c r="F350" s="3">
        <v>66</v>
      </c>
      <c r="G350" s="3">
        <v>5.59</v>
      </c>
      <c r="H350" s="3">
        <v>0.14000000000000001</v>
      </c>
      <c r="I350" s="3">
        <v>0.82</v>
      </c>
      <c r="J350" s="3">
        <v>4.08</v>
      </c>
      <c r="K350" s="3">
        <v>3</v>
      </c>
      <c r="L350" s="3">
        <v>29.38</v>
      </c>
      <c r="M350" s="4" t="str">
        <f t="shared" si="1"/>
        <v>High</v>
      </c>
    </row>
    <row r="351" spans="1:13" ht="14.25" customHeight="1" x14ac:dyDescent="0.3">
      <c r="A351" s="3" t="s">
        <v>52</v>
      </c>
      <c r="B351" s="3" t="s">
        <v>44</v>
      </c>
      <c r="C351" s="3" t="s">
        <v>24</v>
      </c>
      <c r="D351" s="3" t="s">
        <v>19</v>
      </c>
      <c r="E351" s="3" t="s">
        <v>18</v>
      </c>
      <c r="F351" s="3">
        <v>58</v>
      </c>
      <c r="G351" s="3">
        <v>7.07</v>
      </c>
      <c r="H351" s="3">
        <v>0.06</v>
      </c>
      <c r="I351" s="3">
        <v>0.89</v>
      </c>
      <c r="J351" s="3">
        <v>4.01</v>
      </c>
      <c r="K351" s="3">
        <v>0</v>
      </c>
      <c r="L351" s="3">
        <v>25.6</v>
      </c>
      <c r="M351" s="4" t="str">
        <f t="shared" si="1"/>
        <v>Low</v>
      </c>
    </row>
    <row r="352" spans="1:13" ht="14.25" customHeight="1" x14ac:dyDescent="0.3">
      <c r="A352" s="3" t="s">
        <v>52</v>
      </c>
      <c r="B352" s="3" t="s">
        <v>44</v>
      </c>
      <c r="C352" s="3" t="s">
        <v>24</v>
      </c>
      <c r="D352" s="3" t="s">
        <v>21</v>
      </c>
      <c r="E352" s="3" t="s">
        <v>18</v>
      </c>
      <c r="F352" s="3">
        <v>33</v>
      </c>
      <c r="G352" s="3">
        <v>5.98</v>
      </c>
      <c r="H352" s="3">
        <v>0.09</v>
      </c>
      <c r="I352" s="3">
        <v>0.64</v>
      </c>
      <c r="J352" s="3">
        <v>3.82</v>
      </c>
      <c r="K352" s="3">
        <v>2</v>
      </c>
      <c r="L352" s="3">
        <v>27.97</v>
      </c>
      <c r="M352" s="4" t="str">
        <f t="shared" si="1"/>
        <v>High</v>
      </c>
    </row>
    <row r="353" spans="1:13" ht="14.25" customHeight="1" x14ac:dyDescent="0.3">
      <c r="A353" s="3" t="s">
        <v>52</v>
      </c>
      <c r="B353" s="3" t="s">
        <v>44</v>
      </c>
      <c r="C353" s="3" t="s">
        <v>29</v>
      </c>
      <c r="D353" s="3" t="s">
        <v>17</v>
      </c>
      <c r="E353" s="3" t="s">
        <v>18</v>
      </c>
      <c r="F353" s="3">
        <v>63</v>
      </c>
      <c r="G353" s="3">
        <v>6.4</v>
      </c>
      <c r="H353" s="3">
        <v>0.05</v>
      </c>
      <c r="I353" s="3">
        <v>0.78</v>
      </c>
      <c r="J353" s="3">
        <v>3.57</v>
      </c>
      <c r="K353" s="3">
        <v>0</v>
      </c>
      <c r="L353" s="3">
        <v>24.6</v>
      </c>
      <c r="M353" s="4" t="str">
        <f t="shared" si="1"/>
        <v>Low</v>
      </c>
    </row>
    <row r="354" spans="1:13" ht="14.25" customHeight="1" x14ac:dyDescent="0.3">
      <c r="A354" s="3" t="s">
        <v>52</v>
      </c>
      <c r="B354" s="3" t="s">
        <v>44</v>
      </c>
      <c r="C354" s="3" t="s">
        <v>29</v>
      </c>
      <c r="D354" s="3" t="s">
        <v>19</v>
      </c>
      <c r="E354" s="3" t="s">
        <v>22</v>
      </c>
      <c r="F354" s="3">
        <v>73</v>
      </c>
      <c r="G354" s="3">
        <v>6.17</v>
      </c>
      <c r="H354" s="3">
        <v>0.09</v>
      </c>
      <c r="I354" s="3">
        <v>0.84</v>
      </c>
      <c r="J354" s="3">
        <v>4.8</v>
      </c>
      <c r="K354" s="3">
        <v>0</v>
      </c>
      <c r="L354" s="3">
        <v>24.26</v>
      </c>
      <c r="M354" s="4" t="str">
        <f t="shared" si="1"/>
        <v>Low</v>
      </c>
    </row>
    <row r="355" spans="1:13" ht="14.25" customHeight="1" x14ac:dyDescent="0.3">
      <c r="A355" s="3" t="s">
        <v>52</v>
      </c>
      <c r="B355" s="3" t="s">
        <v>44</v>
      </c>
      <c r="C355" s="3" t="s">
        <v>29</v>
      </c>
      <c r="D355" s="3" t="s">
        <v>21</v>
      </c>
      <c r="E355" s="3" t="s">
        <v>26</v>
      </c>
      <c r="F355" s="3">
        <v>65</v>
      </c>
      <c r="G355" s="3">
        <v>7.26</v>
      </c>
      <c r="H355" s="3">
        <v>7.0000000000000007E-2</v>
      </c>
      <c r="I355" s="3">
        <v>0.85</v>
      </c>
      <c r="J355" s="3">
        <v>4.6399999999999997</v>
      </c>
      <c r="K355" s="3">
        <v>1</v>
      </c>
      <c r="L355" s="3">
        <v>27.89</v>
      </c>
      <c r="M355" s="4" t="str">
        <f t="shared" si="1"/>
        <v>High</v>
      </c>
    </row>
    <row r="356" spans="1:13" ht="14.25" customHeight="1" x14ac:dyDescent="0.3">
      <c r="A356" s="3" t="s">
        <v>52</v>
      </c>
      <c r="B356" s="3" t="s">
        <v>44</v>
      </c>
      <c r="C356" s="3" t="s">
        <v>32</v>
      </c>
      <c r="D356" s="3" t="s">
        <v>17</v>
      </c>
      <c r="E356" s="3" t="s">
        <v>18</v>
      </c>
      <c r="F356" s="3">
        <v>48</v>
      </c>
      <c r="G356" s="3">
        <v>5.55</v>
      </c>
      <c r="H356" s="3">
        <v>0.03</v>
      </c>
      <c r="I356" s="3">
        <v>0.82</v>
      </c>
      <c r="J356" s="3">
        <v>4.21</v>
      </c>
      <c r="K356" s="3">
        <v>0</v>
      </c>
      <c r="L356" s="3">
        <v>23.32</v>
      </c>
      <c r="M356" s="4" t="str">
        <f t="shared" si="1"/>
        <v>Low</v>
      </c>
    </row>
    <row r="357" spans="1:13" ht="14.25" customHeight="1" x14ac:dyDescent="0.3">
      <c r="A357" s="3" t="s">
        <v>52</v>
      </c>
      <c r="B357" s="3" t="s">
        <v>44</v>
      </c>
      <c r="C357" s="3" t="s">
        <v>32</v>
      </c>
      <c r="D357" s="3" t="s">
        <v>19</v>
      </c>
      <c r="E357" s="3" t="s">
        <v>26</v>
      </c>
      <c r="F357" s="3">
        <v>63</v>
      </c>
      <c r="G357" s="3">
        <v>4.72</v>
      </c>
      <c r="H357" s="3">
        <v>0.11</v>
      </c>
      <c r="I357" s="3">
        <v>0.83</v>
      </c>
      <c r="J357" s="3">
        <v>4.63</v>
      </c>
      <c r="K357" s="3">
        <v>0</v>
      </c>
      <c r="L357" s="3">
        <v>22.08</v>
      </c>
      <c r="M357" s="4" t="str">
        <f t="shared" si="1"/>
        <v>Low</v>
      </c>
    </row>
    <row r="358" spans="1:13" ht="14.25" customHeight="1" x14ac:dyDescent="0.3">
      <c r="A358" s="3" t="s">
        <v>52</v>
      </c>
      <c r="B358" s="3" t="s">
        <v>44</v>
      </c>
      <c r="C358" s="3" t="s">
        <v>32</v>
      </c>
      <c r="D358" s="3" t="s">
        <v>21</v>
      </c>
      <c r="E358" s="3" t="s">
        <v>26</v>
      </c>
      <c r="F358" s="3">
        <v>57</v>
      </c>
      <c r="G358" s="3">
        <v>6.16</v>
      </c>
      <c r="H358" s="3">
        <v>0.08</v>
      </c>
      <c r="I358" s="3">
        <v>0.61</v>
      </c>
      <c r="J358" s="3">
        <v>4.76</v>
      </c>
      <c r="K358" s="3">
        <v>2</v>
      </c>
      <c r="L358" s="3">
        <v>28.24</v>
      </c>
      <c r="M358" s="4" t="str">
        <f t="shared" si="1"/>
        <v>High</v>
      </c>
    </row>
    <row r="359" spans="1:13" ht="14.25" customHeight="1" x14ac:dyDescent="0.3">
      <c r="A359" s="3" t="s">
        <v>52</v>
      </c>
      <c r="B359" s="3" t="s">
        <v>44</v>
      </c>
      <c r="C359" s="3" t="s">
        <v>33</v>
      </c>
      <c r="D359" s="3" t="s">
        <v>17</v>
      </c>
      <c r="E359" s="3" t="s">
        <v>18</v>
      </c>
      <c r="F359" s="3">
        <v>73</v>
      </c>
      <c r="G359" s="3">
        <v>5.61</v>
      </c>
      <c r="H359" s="3">
        <v>0.08</v>
      </c>
      <c r="I359" s="3">
        <v>0.88</v>
      </c>
      <c r="J359" s="3">
        <v>4.2699999999999996</v>
      </c>
      <c r="K359" s="3">
        <v>0</v>
      </c>
      <c r="L359" s="3">
        <v>23.42</v>
      </c>
      <c r="M359" s="4" t="str">
        <f t="shared" si="1"/>
        <v>Low</v>
      </c>
    </row>
    <row r="360" spans="1:13" ht="14.25" customHeight="1" x14ac:dyDescent="0.3">
      <c r="A360" s="3" t="s">
        <v>52</v>
      </c>
      <c r="B360" s="3" t="s">
        <v>44</v>
      </c>
      <c r="C360" s="3" t="s">
        <v>33</v>
      </c>
      <c r="D360" s="3" t="s">
        <v>19</v>
      </c>
      <c r="E360" s="3" t="s">
        <v>22</v>
      </c>
      <c r="F360" s="3">
        <v>62</v>
      </c>
      <c r="G360" s="3">
        <v>4.1900000000000004</v>
      </c>
      <c r="H360" s="3">
        <v>0.2</v>
      </c>
      <c r="I360" s="3">
        <v>0.89</v>
      </c>
      <c r="J360" s="3">
        <v>3.97</v>
      </c>
      <c r="K360" s="3">
        <v>1</v>
      </c>
      <c r="L360" s="3">
        <v>23.28</v>
      </c>
      <c r="M360" s="4" t="str">
        <f t="shared" si="1"/>
        <v>Low</v>
      </c>
    </row>
    <row r="361" spans="1:13" ht="14.25" customHeight="1" x14ac:dyDescent="0.3">
      <c r="A361" s="3" t="s">
        <v>52</v>
      </c>
      <c r="B361" s="3" t="s">
        <v>44</v>
      </c>
      <c r="C361" s="3" t="s">
        <v>33</v>
      </c>
      <c r="D361" s="3" t="s">
        <v>21</v>
      </c>
      <c r="E361" s="3" t="s">
        <v>26</v>
      </c>
      <c r="F361" s="3">
        <v>56</v>
      </c>
      <c r="G361" s="3">
        <v>7.94</v>
      </c>
      <c r="H361" s="3">
        <v>7.0000000000000007E-2</v>
      </c>
      <c r="I361" s="3">
        <v>0.81</v>
      </c>
      <c r="J361" s="3">
        <v>4.49</v>
      </c>
      <c r="K361" s="3">
        <v>0</v>
      </c>
      <c r="L361" s="3">
        <v>26.91</v>
      </c>
      <c r="M361" s="4" t="str">
        <f t="shared" si="1"/>
        <v>Low</v>
      </c>
    </row>
    <row r="362" spans="1:13" ht="14.25" customHeight="1" x14ac:dyDescent="0.3">
      <c r="A362" s="3" t="s">
        <v>52</v>
      </c>
      <c r="B362" s="3" t="s">
        <v>45</v>
      </c>
      <c r="C362" s="3" t="s">
        <v>16</v>
      </c>
      <c r="D362" s="3" t="s">
        <v>17</v>
      </c>
      <c r="E362" s="3" t="s">
        <v>26</v>
      </c>
      <c r="F362" s="3">
        <v>77</v>
      </c>
      <c r="G362" s="3">
        <v>4.9800000000000004</v>
      </c>
      <c r="H362" s="3">
        <v>0.06</v>
      </c>
      <c r="I362" s="3">
        <v>0.79</v>
      </c>
      <c r="J362" s="3">
        <v>3.54</v>
      </c>
      <c r="K362" s="3">
        <v>3</v>
      </c>
      <c r="L362" s="3">
        <v>28.47</v>
      </c>
      <c r="M362" s="4" t="str">
        <f t="shared" si="1"/>
        <v>High</v>
      </c>
    </row>
    <row r="363" spans="1:13" ht="14.25" customHeight="1" x14ac:dyDescent="0.3">
      <c r="A363" s="3" t="s">
        <v>52</v>
      </c>
      <c r="B363" s="3" t="s">
        <v>45</v>
      </c>
      <c r="C363" s="3" t="s">
        <v>16</v>
      </c>
      <c r="D363" s="3" t="s">
        <v>19</v>
      </c>
      <c r="E363" s="3" t="s">
        <v>22</v>
      </c>
      <c r="F363" s="3">
        <v>45</v>
      </c>
      <c r="G363" s="3">
        <v>5.21</v>
      </c>
      <c r="H363" s="3">
        <v>0.24</v>
      </c>
      <c r="I363" s="3">
        <v>0.89</v>
      </c>
      <c r="J363" s="3">
        <v>3.54</v>
      </c>
      <c r="K363" s="3">
        <v>2</v>
      </c>
      <c r="L363" s="3">
        <v>26.82</v>
      </c>
      <c r="M363" s="4" t="str">
        <f t="shared" si="1"/>
        <v>Low</v>
      </c>
    </row>
    <row r="364" spans="1:13" ht="14.25" customHeight="1" x14ac:dyDescent="0.3">
      <c r="A364" s="3" t="s">
        <v>52</v>
      </c>
      <c r="B364" s="3" t="s">
        <v>45</v>
      </c>
      <c r="C364" s="3" t="s">
        <v>16</v>
      </c>
      <c r="D364" s="3" t="s">
        <v>21</v>
      </c>
      <c r="E364" s="3" t="s">
        <v>18</v>
      </c>
      <c r="F364" s="3">
        <v>50</v>
      </c>
      <c r="G364" s="3">
        <v>7.15</v>
      </c>
      <c r="H364" s="3">
        <v>0.06</v>
      </c>
      <c r="I364" s="3">
        <v>0.65</v>
      </c>
      <c r="J364" s="3">
        <v>4.74</v>
      </c>
      <c r="K364" s="3">
        <v>0</v>
      </c>
      <c r="L364" s="3">
        <v>25.72</v>
      </c>
      <c r="M364" s="4" t="str">
        <f t="shared" si="1"/>
        <v>Low</v>
      </c>
    </row>
    <row r="365" spans="1:13" ht="14.25" customHeight="1" x14ac:dyDescent="0.3">
      <c r="A365" s="3" t="s">
        <v>52</v>
      </c>
      <c r="B365" s="3" t="s">
        <v>45</v>
      </c>
      <c r="C365" s="3" t="s">
        <v>24</v>
      </c>
      <c r="D365" s="3" t="s">
        <v>17</v>
      </c>
      <c r="E365" s="3" t="s">
        <v>26</v>
      </c>
      <c r="F365" s="3">
        <v>37</v>
      </c>
      <c r="G365" s="3">
        <v>5.47</v>
      </c>
      <c r="H365" s="3">
        <v>0.15</v>
      </c>
      <c r="I365" s="3">
        <v>0.76</v>
      </c>
      <c r="J365" s="3">
        <v>3.5</v>
      </c>
      <c r="K365" s="3">
        <v>0</v>
      </c>
      <c r="L365" s="3">
        <v>23.2</v>
      </c>
      <c r="M365" s="4" t="str">
        <f t="shared" si="1"/>
        <v>Low</v>
      </c>
    </row>
    <row r="366" spans="1:13" ht="14.25" customHeight="1" x14ac:dyDescent="0.3">
      <c r="A366" s="3" t="s">
        <v>52</v>
      </c>
      <c r="B366" s="3" t="s">
        <v>45</v>
      </c>
      <c r="C366" s="3" t="s">
        <v>24</v>
      </c>
      <c r="D366" s="3" t="s">
        <v>19</v>
      </c>
      <c r="E366" s="3" t="s">
        <v>18</v>
      </c>
      <c r="F366" s="3">
        <v>66</v>
      </c>
      <c r="G366" s="3">
        <v>5.36</v>
      </c>
      <c r="H366" s="3">
        <v>0.12</v>
      </c>
      <c r="I366" s="3">
        <v>0.87</v>
      </c>
      <c r="J366" s="3">
        <v>4.3600000000000003</v>
      </c>
      <c r="K366" s="3">
        <v>1</v>
      </c>
      <c r="L366" s="3">
        <v>25.04</v>
      </c>
      <c r="M366" s="4" t="str">
        <f t="shared" si="1"/>
        <v>Low</v>
      </c>
    </row>
    <row r="367" spans="1:13" ht="14.25" customHeight="1" x14ac:dyDescent="0.3">
      <c r="A367" s="3" t="s">
        <v>52</v>
      </c>
      <c r="B367" s="3" t="s">
        <v>45</v>
      </c>
      <c r="C367" s="3" t="s">
        <v>24</v>
      </c>
      <c r="D367" s="3" t="s">
        <v>21</v>
      </c>
      <c r="E367" s="3" t="s">
        <v>26</v>
      </c>
      <c r="F367" s="3">
        <v>31</v>
      </c>
      <c r="G367" s="3">
        <v>6.43</v>
      </c>
      <c r="H367" s="3">
        <v>0.03</v>
      </c>
      <c r="I367" s="3">
        <v>0.7</v>
      </c>
      <c r="J367" s="3">
        <v>4.4400000000000004</v>
      </c>
      <c r="K367" s="3">
        <v>0</v>
      </c>
      <c r="L367" s="3">
        <v>24.64</v>
      </c>
      <c r="M367" s="4" t="str">
        <f t="shared" si="1"/>
        <v>Low</v>
      </c>
    </row>
    <row r="368" spans="1:13" ht="14.25" customHeight="1" x14ac:dyDescent="0.3">
      <c r="A368" s="3" t="s">
        <v>52</v>
      </c>
      <c r="B368" s="3" t="s">
        <v>45</v>
      </c>
      <c r="C368" s="3" t="s">
        <v>29</v>
      </c>
      <c r="D368" s="3" t="s">
        <v>17</v>
      </c>
      <c r="E368" s="3" t="s">
        <v>18</v>
      </c>
      <c r="F368" s="3">
        <v>60</v>
      </c>
      <c r="G368" s="3">
        <v>5.81</v>
      </c>
      <c r="H368" s="3">
        <v>0.03</v>
      </c>
      <c r="I368" s="3">
        <v>0.87</v>
      </c>
      <c r="J368" s="3">
        <v>4.7300000000000004</v>
      </c>
      <c r="K368" s="3">
        <v>0</v>
      </c>
      <c r="L368" s="3">
        <v>23.72</v>
      </c>
      <c r="M368" s="4" t="str">
        <f t="shared" si="1"/>
        <v>Low</v>
      </c>
    </row>
    <row r="369" spans="1:13" ht="14.25" customHeight="1" x14ac:dyDescent="0.3">
      <c r="A369" s="3" t="s">
        <v>52</v>
      </c>
      <c r="B369" s="3" t="s">
        <v>45</v>
      </c>
      <c r="C369" s="3" t="s">
        <v>29</v>
      </c>
      <c r="D369" s="3" t="s">
        <v>19</v>
      </c>
      <c r="E369" s="3" t="s">
        <v>26</v>
      </c>
      <c r="F369" s="3">
        <v>67</v>
      </c>
      <c r="G369" s="3">
        <v>5.45</v>
      </c>
      <c r="H369" s="3">
        <v>0.06</v>
      </c>
      <c r="I369" s="3">
        <v>0.76</v>
      </c>
      <c r="J369" s="3">
        <v>4.1500000000000004</v>
      </c>
      <c r="K369" s="3">
        <v>1</v>
      </c>
      <c r="L369" s="3">
        <v>25.18</v>
      </c>
      <c r="M369" s="4" t="str">
        <f t="shared" si="1"/>
        <v>Low</v>
      </c>
    </row>
    <row r="370" spans="1:13" ht="14.25" customHeight="1" x14ac:dyDescent="0.3">
      <c r="A370" s="3" t="s">
        <v>52</v>
      </c>
      <c r="B370" s="3" t="s">
        <v>45</v>
      </c>
      <c r="C370" s="3" t="s">
        <v>29</v>
      </c>
      <c r="D370" s="3" t="s">
        <v>21</v>
      </c>
      <c r="E370" s="3" t="s">
        <v>26</v>
      </c>
      <c r="F370" s="3">
        <v>31</v>
      </c>
      <c r="G370" s="3">
        <v>5.84</v>
      </c>
      <c r="H370" s="3">
        <v>0.06</v>
      </c>
      <c r="I370" s="3">
        <v>0.66</v>
      </c>
      <c r="J370" s="3">
        <v>3.87</v>
      </c>
      <c r="K370" s="3">
        <v>2</v>
      </c>
      <c r="L370" s="3">
        <v>27.76</v>
      </c>
      <c r="M370" s="4" t="str">
        <f t="shared" si="1"/>
        <v>High</v>
      </c>
    </row>
    <row r="371" spans="1:13" ht="14.25" customHeight="1" x14ac:dyDescent="0.3">
      <c r="A371" s="3" t="s">
        <v>52</v>
      </c>
      <c r="B371" s="3" t="s">
        <v>45</v>
      </c>
      <c r="C371" s="3" t="s">
        <v>32</v>
      </c>
      <c r="D371" s="3" t="s">
        <v>17</v>
      </c>
      <c r="E371" s="3" t="s">
        <v>26</v>
      </c>
      <c r="F371" s="3">
        <v>56</v>
      </c>
      <c r="G371" s="3">
        <v>5.29</v>
      </c>
      <c r="H371" s="3">
        <v>0.02</v>
      </c>
      <c r="I371" s="3">
        <v>0.84</v>
      </c>
      <c r="J371" s="3">
        <v>4.59</v>
      </c>
      <c r="K371" s="3">
        <v>0</v>
      </c>
      <c r="L371" s="3">
        <v>22.94</v>
      </c>
      <c r="M371" s="4" t="str">
        <f t="shared" si="1"/>
        <v>Low</v>
      </c>
    </row>
    <row r="372" spans="1:13" ht="14.25" customHeight="1" x14ac:dyDescent="0.3">
      <c r="A372" s="3" t="s">
        <v>52</v>
      </c>
      <c r="B372" s="3" t="s">
        <v>45</v>
      </c>
      <c r="C372" s="3" t="s">
        <v>32</v>
      </c>
      <c r="D372" s="3" t="s">
        <v>19</v>
      </c>
      <c r="E372" s="3" t="s">
        <v>22</v>
      </c>
      <c r="F372" s="3">
        <v>42</v>
      </c>
      <c r="G372" s="3">
        <v>4.3499999999999996</v>
      </c>
      <c r="H372" s="3">
        <v>0.21</v>
      </c>
      <c r="I372" s="3">
        <v>0.77</v>
      </c>
      <c r="J372" s="3">
        <v>4.66</v>
      </c>
      <c r="K372" s="3">
        <v>0</v>
      </c>
      <c r="L372" s="3">
        <v>21.52</v>
      </c>
      <c r="M372" s="4" t="str">
        <f t="shared" si="1"/>
        <v>Low</v>
      </c>
    </row>
    <row r="373" spans="1:13" ht="14.25" customHeight="1" x14ac:dyDescent="0.3">
      <c r="A373" s="3" t="s">
        <v>52</v>
      </c>
      <c r="B373" s="3" t="s">
        <v>45</v>
      </c>
      <c r="C373" s="3" t="s">
        <v>32</v>
      </c>
      <c r="D373" s="3" t="s">
        <v>21</v>
      </c>
      <c r="E373" s="3" t="s">
        <v>18</v>
      </c>
      <c r="F373" s="3">
        <v>39</v>
      </c>
      <c r="G373" s="3">
        <v>7.2</v>
      </c>
      <c r="H373" s="3">
        <v>0.13</v>
      </c>
      <c r="I373" s="3">
        <v>0.74</v>
      </c>
      <c r="J373" s="3">
        <v>4.33</v>
      </c>
      <c r="K373" s="3">
        <v>0</v>
      </c>
      <c r="L373" s="3">
        <v>25.8</v>
      </c>
      <c r="M373" s="4" t="str">
        <f t="shared" si="1"/>
        <v>Low</v>
      </c>
    </row>
    <row r="374" spans="1:13" ht="14.25" customHeight="1" x14ac:dyDescent="0.3">
      <c r="A374" s="3" t="s">
        <v>52</v>
      </c>
      <c r="B374" s="3" t="s">
        <v>45</v>
      </c>
      <c r="C374" s="3" t="s">
        <v>33</v>
      </c>
      <c r="D374" s="3" t="s">
        <v>17</v>
      </c>
      <c r="E374" s="3" t="s">
        <v>18</v>
      </c>
      <c r="F374" s="3">
        <v>75</v>
      </c>
      <c r="G374" s="3">
        <v>6.48</v>
      </c>
      <c r="H374" s="3">
        <v>0.09</v>
      </c>
      <c r="I374" s="3">
        <v>0.83</v>
      </c>
      <c r="J374" s="3">
        <v>3.69</v>
      </c>
      <c r="K374" s="3">
        <v>1</v>
      </c>
      <c r="L374" s="3">
        <v>26.72</v>
      </c>
      <c r="M374" s="4" t="str">
        <f t="shared" si="1"/>
        <v>Low</v>
      </c>
    </row>
    <row r="375" spans="1:13" ht="14.25" customHeight="1" x14ac:dyDescent="0.3">
      <c r="A375" s="3" t="s">
        <v>52</v>
      </c>
      <c r="B375" s="3" t="s">
        <v>45</v>
      </c>
      <c r="C375" s="3" t="s">
        <v>33</v>
      </c>
      <c r="D375" s="3" t="s">
        <v>19</v>
      </c>
      <c r="E375" s="3" t="s">
        <v>22</v>
      </c>
      <c r="F375" s="3">
        <v>60</v>
      </c>
      <c r="G375" s="3">
        <v>6.51</v>
      </c>
      <c r="H375" s="3">
        <v>0.12</v>
      </c>
      <c r="I375" s="3">
        <v>0.77</v>
      </c>
      <c r="J375" s="3">
        <v>4.32</v>
      </c>
      <c r="K375" s="3">
        <v>0</v>
      </c>
      <c r="L375" s="3">
        <v>24.76</v>
      </c>
      <c r="M375" s="4" t="str">
        <f t="shared" si="1"/>
        <v>Low</v>
      </c>
    </row>
    <row r="376" spans="1:13" ht="14.25" customHeight="1" x14ac:dyDescent="0.3">
      <c r="A376" s="3" t="s">
        <v>52</v>
      </c>
      <c r="B376" s="3" t="s">
        <v>45</v>
      </c>
      <c r="C376" s="3" t="s">
        <v>33</v>
      </c>
      <c r="D376" s="3" t="s">
        <v>21</v>
      </c>
      <c r="E376" s="3" t="s">
        <v>26</v>
      </c>
      <c r="F376" s="3">
        <v>44</v>
      </c>
      <c r="G376" s="3">
        <v>6.71</v>
      </c>
      <c r="H376" s="3">
        <v>0.1</v>
      </c>
      <c r="I376" s="3">
        <v>0.82</v>
      </c>
      <c r="J376" s="3">
        <v>4.26</v>
      </c>
      <c r="K376" s="3">
        <v>0</v>
      </c>
      <c r="L376" s="3">
        <v>25.06</v>
      </c>
      <c r="M376" s="4" t="str">
        <f t="shared" si="1"/>
        <v>Low</v>
      </c>
    </row>
    <row r="377" spans="1:13" ht="14.25" customHeight="1" x14ac:dyDescent="0.3">
      <c r="A377" s="3" t="s">
        <v>52</v>
      </c>
      <c r="B377" s="3" t="s">
        <v>46</v>
      </c>
      <c r="C377" s="3" t="s">
        <v>16</v>
      </c>
      <c r="D377" s="3" t="s">
        <v>17</v>
      </c>
      <c r="E377" s="3" t="s">
        <v>18</v>
      </c>
      <c r="F377" s="3">
        <v>73</v>
      </c>
      <c r="G377" s="3">
        <v>6.93</v>
      </c>
      <c r="H377" s="3">
        <v>0.12</v>
      </c>
      <c r="I377" s="3">
        <v>0.8</v>
      </c>
      <c r="J377" s="3">
        <v>3.63</v>
      </c>
      <c r="K377" s="3">
        <v>0</v>
      </c>
      <c r="L377" s="3">
        <v>25.4</v>
      </c>
      <c r="M377" s="4" t="str">
        <f t="shared" si="1"/>
        <v>Low</v>
      </c>
    </row>
    <row r="378" spans="1:13" ht="14.25" customHeight="1" x14ac:dyDescent="0.3">
      <c r="A378" s="3" t="s">
        <v>52</v>
      </c>
      <c r="B378" s="3" t="s">
        <v>46</v>
      </c>
      <c r="C378" s="3" t="s">
        <v>16</v>
      </c>
      <c r="D378" s="3" t="s">
        <v>19</v>
      </c>
      <c r="E378" s="3" t="s">
        <v>22</v>
      </c>
      <c r="F378" s="3">
        <v>56</v>
      </c>
      <c r="G378" s="3">
        <v>6.21</v>
      </c>
      <c r="H378" s="3">
        <v>0.28000000000000003</v>
      </c>
      <c r="I378" s="3">
        <v>0.89</v>
      </c>
      <c r="J378" s="3">
        <v>4.05</v>
      </c>
      <c r="K378" s="3">
        <v>0</v>
      </c>
      <c r="L378" s="3">
        <v>24.32</v>
      </c>
      <c r="M378" s="4" t="str">
        <f t="shared" si="1"/>
        <v>Low</v>
      </c>
    </row>
    <row r="379" spans="1:13" ht="14.25" customHeight="1" x14ac:dyDescent="0.3">
      <c r="A379" s="3" t="s">
        <v>52</v>
      </c>
      <c r="B379" s="3" t="s">
        <v>46</v>
      </c>
      <c r="C379" s="3" t="s">
        <v>16</v>
      </c>
      <c r="D379" s="3" t="s">
        <v>21</v>
      </c>
      <c r="E379" s="3" t="s">
        <v>26</v>
      </c>
      <c r="F379" s="3">
        <v>66</v>
      </c>
      <c r="G379" s="3">
        <v>7.06</v>
      </c>
      <c r="H379" s="3">
        <v>0.04</v>
      </c>
      <c r="I379" s="3">
        <v>0.61</v>
      </c>
      <c r="J379" s="3">
        <v>4.2300000000000004</v>
      </c>
      <c r="K379" s="3">
        <v>2</v>
      </c>
      <c r="L379" s="3">
        <v>29.59</v>
      </c>
      <c r="M379" s="4" t="str">
        <f t="shared" si="1"/>
        <v>High</v>
      </c>
    </row>
    <row r="380" spans="1:13" ht="14.25" customHeight="1" x14ac:dyDescent="0.3">
      <c r="A380" s="3" t="s">
        <v>52</v>
      </c>
      <c r="B380" s="3" t="s">
        <v>46</v>
      </c>
      <c r="C380" s="3" t="s">
        <v>24</v>
      </c>
      <c r="D380" s="3" t="s">
        <v>17</v>
      </c>
      <c r="E380" s="3" t="s">
        <v>26</v>
      </c>
      <c r="F380" s="3">
        <v>39</v>
      </c>
      <c r="G380" s="3">
        <v>5.59</v>
      </c>
      <c r="H380" s="3">
        <v>0.13</v>
      </c>
      <c r="I380" s="3">
        <v>0.78</v>
      </c>
      <c r="J380" s="3">
        <v>3.86</v>
      </c>
      <c r="K380" s="3">
        <v>0</v>
      </c>
      <c r="L380" s="3">
        <v>23.38</v>
      </c>
      <c r="M380" s="4" t="str">
        <f t="shared" si="1"/>
        <v>Low</v>
      </c>
    </row>
    <row r="381" spans="1:13" ht="14.25" customHeight="1" x14ac:dyDescent="0.3">
      <c r="A381" s="3" t="s">
        <v>52</v>
      </c>
      <c r="B381" s="3" t="s">
        <v>46</v>
      </c>
      <c r="C381" s="3" t="s">
        <v>24</v>
      </c>
      <c r="D381" s="3" t="s">
        <v>19</v>
      </c>
      <c r="E381" s="3" t="s">
        <v>18</v>
      </c>
      <c r="F381" s="3">
        <v>54</v>
      </c>
      <c r="G381" s="3">
        <v>5.39</v>
      </c>
      <c r="H381" s="3">
        <v>0.06</v>
      </c>
      <c r="I381" s="3">
        <v>0.77</v>
      </c>
      <c r="J381" s="3">
        <v>4.5199999999999996</v>
      </c>
      <c r="K381" s="3">
        <v>1</v>
      </c>
      <c r="L381" s="3">
        <v>25.08</v>
      </c>
      <c r="M381" s="4" t="str">
        <f t="shared" si="1"/>
        <v>Low</v>
      </c>
    </row>
    <row r="382" spans="1:13" ht="14.25" customHeight="1" x14ac:dyDescent="0.3">
      <c r="A382" s="3" t="s">
        <v>52</v>
      </c>
      <c r="B382" s="3" t="s">
        <v>46</v>
      </c>
      <c r="C382" s="3" t="s">
        <v>24</v>
      </c>
      <c r="D382" s="3" t="s">
        <v>21</v>
      </c>
      <c r="E382" s="3" t="s">
        <v>22</v>
      </c>
      <c r="F382" s="3">
        <v>66</v>
      </c>
      <c r="G382" s="3">
        <v>3.57</v>
      </c>
      <c r="H382" s="3">
        <v>0.27</v>
      </c>
      <c r="I382" s="3">
        <v>0.72</v>
      </c>
      <c r="J382" s="3">
        <v>3.64</v>
      </c>
      <c r="K382" s="3">
        <v>1</v>
      </c>
      <c r="L382" s="3">
        <v>22.36</v>
      </c>
      <c r="M382" s="4" t="str">
        <f t="shared" si="1"/>
        <v>Low</v>
      </c>
    </row>
    <row r="383" spans="1:13" ht="14.25" customHeight="1" x14ac:dyDescent="0.3">
      <c r="A383" s="3" t="s">
        <v>52</v>
      </c>
      <c r="B383" s="3" t="s">
        <v>46</v>
      </c>
      <c r="C383" s="3" t="s">
        <v>29</v>
      </c>
      <c r="D383" s="3" t="s">
        <v>17</v>
      </c>
      <c r="E383" s="3" t="s">
        <v>26</v>
      </c>
      <c r="F383" s="3">
        <v>70</v>
      </c>
      <c r="G383" s="3">
        <v>5.97</v>
      </c>
      <c r="H383" s="3">
        <v>0.03</v>
      </c>
      <c r="I383" s="3">
        <v>0.87</v>
      </c>
      <c r="J383" s="3">
        <v>4.04</v>
      </c>
      <c r="K383" s="3">
        <v>2</v>
      </c>
      <c r="L383" s="3">
        <v>27.96</v>
      </c>
      <c r="M383" s="4" t="str">
        <f t="shared" si="1"/>
        <v>High</v>
      </c>
    </row>
    <row r="384" spans="1:13" ht="14.25" customHeight="1" x14ac:dyDescent="0.3">
      <c r="A384" s="3" t="s">
        <v>52</v>
      </c>
      <c r="B384" s="3" t="s">
        <v>46</v>
      </c>
      <c r="C384" s="3" t="s">
        <v>29</v>
      </c>
      <c r="D384" s="3" t="s">
        <v>19</v>
      </c>
      <c r="E384" s="3" t="s">
        <v>26</v>
      </c>
      <c r="F384" s="3">
        <v>45</v>
      </c>
      <c r="G384" s="3">
        <v>6.93</v>
      </c>
      <c r="H384" s="3">
        <v>0.11</v>
      </c>
      <c r="I384" s="3">
        <v>0.85</v>
      </c>
      <c r="J384" s="3">
        <v>4.54</v>
      </c>
      <c r="K384" s="3">
        <v>1</v>
      </c>
      <c r="L384" s="3">
        <v>27.4</v>
      </c>
      <c r="M384" s="4" t="str">
        <f t="shared" si="1"/>
        <v>Low</v>
      </c>
    </row>
    <row r="385" spans="1:13" ht="14.25" customHeight="1" x14ac:dyDescent="0.3">
      <c r="A385" s="3" t="s">
        <v>52</v>
      </c>
      <c r="B385" s="3" t="s">
        <v>46</v>
      </c>
      <c r="C385" s="3" t="s">
        <v>29</v>
      </c>
      <c r="D385" s="3" t="s">
        <v>21</v>
      </c>
      <c r="E385" s="3" t="s">
        <v>22</v>
      </c>
      <c r="F385" s="3">
        <v>38</v>
      </c>
      <c r="G385" s="3">
        <v>5.67</v>
      </c>
      <c r="H385" s="3">
        <v>0.08</v>
      </c>
      <c r="I385" s="3">
        <v>0.76</v>
      </c>
      <c r="J385" s="3">
        <v>4.46</v>
      </c>
      <c r="K385" s="3">
        <v>0</v>
      </c>
      <c r="L385" s="3">
        <v>23.5</v>
      </c>
      <c r="M385" s="4" t="str">
        <f t="shared" si="1"/>
        <v>Low</v>
      </c>
    </row>
    <row r="386" spans="1:13" ht="14.25" customHeight="1" x14ac:dyDescent="0.3">
      <c r="A386" s="3" t="s">
        <v>52</v>
      </c>
      <c r="B386" s="3" t="s">
        <v>46</v>
      </c>
      <c r="C386" s="3" t="s">
        <v>32</v>
      </c>
      <c r="D386" s="3" t="s">
        <v>17</v>
      </c>
      <c r="E386" s="3" t="s">
        <v>18</v>
      </c>
      <c r="F386" s="3">
        <v>50</v>
      </c>
      <c r="G386" s="3">
        <v>5.66</v>
      </c>
      <c r="H386" s="3">
        <v>0.1</v>
      </c>
      <c r="I386" s="3">
        <v>0.76</v>
      </c>
      <c r="J386" s="3">
        <v>3.56</v>
      </c>
      <c r="K386" s="3">
        <v>1</v>
      </c>
      <c r="L386" s="3">
        <v>25.49</v>
      </c>
      <c r="M386" s="4" t="str">
        <f t="shared" si="1"/>
        <v>Low</v>
      </c>
    </row>
    <row r="387" spans="1:13" ht="14.25" customHeight="1" x14ac:dyDescent="0.3">
      <c r="A387" s="3" t="s">
        <v>52</v>
      </c>
      <c r="B387" s="3" t="s">
        <v>46</v>
      </c>
      <c r="C387" s="3" t="s">
        <v>32</v>
      </c>
      <c r="D387" s="3" t="s">
        <v>19</v>
      </c>
      <c r="E387" s="3" t="s">
        <v>26</v>
      </c>
      <c r="F387" s="3">
        <v>39</v>
      </c>
      <c r="G387" s="3">
        <v>7.96</v>
      </c>
      <c r="H387" s="3">
        <v>0.09</v>
      </c>
      <c r="I387" s="3">
        <v>0.76</v>
      </c>
      <c r="J387" s="3">
        <v>4.3899999999999997</v>
      </c>
      <c r="K387" s="3">
        <v>0</v>
      </c>
      <c r="L387" s="3">
        <v>26.94</v>
      </c>
      <c r="M387" s="4" t="str">
        <f t="shared" si="1"/>
        <v>Low</v>
      </c>
    </row>
    <row r="388" spans="1:13" ht="14.25" customHeight="1" x14ac:dyDescent="0.3">
      <c r="A388" s="3" t="s">
        <v>52</v>
      </c>
      <c r="B388" s="3" t="s">
        <v>46</v>
      </c>
      <c r="C388" s="3" t="s">
        <v>32</v>
      </c>
      <c r="D388" s="3" t="s">
        <v>21</v>
      </c>
      <c r="E388" s="3" t="s">
        <v>26</v>
      </c>
      <c r="F388" s="3">
        <v>31</v>
      </c>
      <c r="G388" s="3">
        <v>5.78</v>
      </c>
      <c r="H388" s="3">
        <v>7.0000000000000007E-2</v>
      </c>
      <c r="I388" s="3">
        <v>0.73</v>
      </c>
      <c r="J388" s="3">
        <v>4.2699999999999996</v>
      </c>
      <c r="K388" s="3">
        <v>0</v>
      </c>
      <c r="L388" s="3">
        <v>23.67</v>
      </c>
      <c r="M388" s="4" t="str">
        <f t="shared" si="1"/>
        <v>Low</v>
      </c>
    </row>
    <row r="389" spans="1:13" ht="14.25" customHeight="1" x14ac:dyDescent="0.3">
      <c r="A389" s="3" t="s">
        <v>52</v>
      </c>
      <c r="B389" s="3" t="s">
        <v>46</v>
      </c>
      <c r="C389" s="3" t="s">
        <v>33</v>
      </c>
      <c r="D389" s="3" t="s">
        <v>17</v>
      </c>
      <c r="E389" s="3" t="s">
        <v>18</v>
      </c>
      <c r="F389" s="3">
        <v>65</v>
      </c>
      <c r="G389" s="3">
        <v>3.36</v>
      </c>
      <c r="H389" s="3">
        <v>0.03</v>
      </c>
      <c r="I389" s="3">
        <v>0.81</v>
      </c>
      <c r="J389" s="3">
        <v>4.49</v>
      </c>
      <c r="K389" s="3">
        <v>0</v>
      </c>
      <c r="L389" s="3">
        <v>20.04</v>
      </c>
      <c r="M389" s="4" t="str">
        <f t="shared" si="1"/>
        <v>Low</v>
      </c>
    </row>
    <row r="390" spans="1:13" ht="14.25" customHeight="1" x14ac:dyDescent="0.3">
      <c r="A390" s="3" t="s">
        <v>52</v>
      </c>
      <c r="B390" s="3" t="s">
        <v>46</v>
      </c>
      <c r="C390" s="3" t="s">
        <v>33</v>
      </c>
      <c r="D390" s="3" t="s">
        <v>19</v>
      </c>
      <c r="E390" s="3" t="s">
        <v>22</v>
      </c>
      <c r="F390" s="3">
        <v>46</v>
      </c>
      <c r="G390" s="3">
        <v>6.44</v>
      </c>
      <c r="H390" s="3">
        <v>0.08</v>
      </c>
      <c r="I390" s="3">
        <v>0.75</v>
      </c>
      <c r="J390" s="3">
        <v>4.5</v>
      </c>
      <c r="K390" s="3">
        <v>2</v>
      </c>
      <c r="L390" s="3">
        <v>28.66</v>
      </c>
      <c r="M390" s="4" t="str">
        <f t="shared" si="1"/>
        <v>High</v>
      </c>
    </row>
    <row r="391" spans="1:13" ht="14.25" customHeight="1" x14ac:dyDescent="0.3">
      <c r="A391" s="3" t="s">
        <v>52</v>
      </c>
      <c r="B391" s="3" t="s">
        <v>46</v>
      </c>
      <c r="C391" s="3" t="s">
        <v>33</v>
      </c>
      <c r="D391" s="3" t="s">
        <v>21</v>
      </c>
      <c r="E391" s="3" t="s">
        <v>22</v>
      </c>
      <c r="F391" s="3">
        <v>35</v>
      </c>
      <c r="G391" s="3">
        <v>6.02</v>
      </c>
      <c r="H391" s="3">
        <v>0.16</v>
      </c>
      <c r="I391" s="3">
        <v>0.68</v>
      </c>
      <c r="J391" s="3">
        <v>3.94</v>
      </c>
      <c r="K391" s="3">
        <v>1</v>
      </c>
      <c r="L391" s="3">
        <v>26.03</v>
      </c>
      <c r="M391" s="4" t="str">
        <f t="shared" si="1"/>
        <v>Low</v>
      </c>
    </row>
    <row r="392" spans="1:13" ht="14.25" customHeight="1" x14ac:dyDescent="0.3">
      <c r="A392" s="3" t="s">
        <v>52</v>
      </c>
      <c r="B392" s="3" t="s">
        <v>47</v>
      </c>
      <c r="C392" s="3" t="s">
        <v>16</v>
      </c>
      <c r="D392" s="3" t="s">
        <v>17</v>
      </c>
      <c r="E392" s="3" t="s">
        <v>22</v>
      </c>
      <c r="F392" s="3">
        <v>41</v>
      </c>
      <c r="G392" s="3">
        <v>6.16</v>
      </c>
      <c r="H392" s="3">
        <v>0.26</v>
      </c>
      <c r="I392" s="3">
        <v>0.75</v>
      </c>
      <c r="J392" s="3">
        <v>4.67</v>
      </c>
      <c r="K392" s="3">
        <v>1</v>
      </c>
      <c r="L392" s="3">
        <v>26.24</v>
      </c>
      <c r="M392" s="4" t="str">
        <f t="shared" si="1"/>
        <v>Low</v>
      </c>
    </row>
    <row r="393" spans="1:13" ht="14.25" customHeight="1" x14ac:dyDescent="0.3">
      <c r="A393" s="3" t="s">
        <v>52</v>
      </c>
      <c r="B393" s="3" t="s">
        <v>47</v>
      </c>
      <c r="C393" s="3" t="s">
        <v>16</v>
      </c>
      <c r="D393" s="3" t="s">
        <v>19</v>
      </c>
      <c r="E393" s="3" t="s">
        <v>26</v>
      </c>
      <c r="F393" s="3">
        <v>37</v>
      </c>
      <c r="G393" s="3">
        <v>6.05</v>
      </c>
      <c r="H393" s="3">
        <v>0.05</v>
      </c>
      <c r="I393" s="3">
        <v>0.77</v>
      </c>
      <c r="J393" s="3">
        <v>4.67</v>
      </c>
      <c r="K393" s="3">
        <v>1</v>
      </c>
      <c r="L393" s="3">
        <v>26.08</v>
      </c>
      <c r="M393" s="4" t="str">
        <f t="shared" si="1"/>
        <v>Low</v>
      </c>
    </row>
    <row r="394" spans="1:13" ht="14.25" customHeight="1" x14ac:dyDescent="0.3">
      <c r="A394" s="3" t="s">
        <v>52</v>
      </c>
      <c r="B394" s="3" t="s">
        <v>47</v>
      </c>
      <c r="C394" s="3" t="s">
        <v>16</v>
      </c>
      <c r="D394" s="3" t="s">
        <v>21</v>
      </c>
      <c r="E394" s="3" t="s">
        <v>26</v>
      </c>
      <c r="F394" s="3">
        <v>63</v>
      </c>
      <c r="G394" s="3">
        <v>7.67</v>
      </c>
      <c r="H394" s="3">
        <v>0.08</v>
      </c>
      <c r="I394" s="3">
        <v>0.61</v>
      </c>
      <c r="J394" s="3">
        <v>4.75</v>
      </c>
      <c r="K394" s="3">
        <v>2</v>
      </c>
      <c r="L394" s="3">
        <v>30.5</v>
      </c>
      <c r="M394" s="4" t="str">
        <f t="shared" si="1"/>
        <v>High</v>
      </c>
    </row>
    <row r="395" spans="1:13" ht="14.25" customHeight="1" x14ac:dyDescent="0.3">
      <c r="A395" s="3" t="s">
        <v>52</v>
      </c>
      <c r="B395" s="3" t="s">
        <v>47</v>
      </c>
      <c r="C395" s="3" t="s">
        <v>24</v>
      </c>
      <c r="D395" s="3" t="s">
        <v>17</v>
      </c>
      <c r="E395" s="3" t="s">
        <v>26</v>
      </c>
      <c r="F395" s="3">
        <v>61</v>
      </c>
      <c r="G395" s="3">
        <v>5.89</v>
      </c>
      <c r="H395" s="3">
        <v>0.1</v>
      </c>
      <c r="I395" s="3">
        <v>0.85</v>
      </c>
      <c r="J395" s="3">
        <v>4.2300000000000004</v>
      </c>
      <c r="K395" s="3">
        <v>1</v>
      </c>
      <c r="L395" s="3">
        <v>25.84</v>
      </c>
      <c r="M395" s="4" t="str">
        <f t="shared" si="1"/>
        <v>Low</v>
      </c>
    </row>
    <row r="396" spans="1:13" ht="14.25" customHeight="1" x14ac:dyDescent="0.3">
      <c r="A396" s="3" t="s">
        <v>52</v>
      </c>
      <c r="B396" s="3" t="s">
        <v>47</v>
      </c>
      <c r="C396" s="3" t="s">
        <v>24</v>
      </c>
      <c r="D396" s="3" t="s">
        <v>19</v>
      </c>
      <c r="E396" s="3" t="s">
        <v>22</v>
      </c>
      <c r="F396" s="3">
        <v>55</v>
      </c>
      <c r="G396" s="3">
        <v>5.62</v>
      </c>
      <c r="H396" s="3">
        <v>0.21</v>
      </c>
      <c r="I396" s="3">
        <v>0.87</v>
      </c>
      <c r="J396" s="3">
        <v>4.25</v>
      </c>
      <c r="K396" s="3">
        <v>0</v>
      </c>
      <c r="L396" s="3">
        <v>23.43</v>
      </c>
      <c r="M396" s="4" t="str">
        <f t="shared" si="1"/>
        <v>Low</v>
      </c>
    </row>
    <row r="397" spans="1:13" ht="14.25" customHeight="1" x14ac:dyDescent="0.3">
      <c r="A397" s="3" t="s">
        <v>52</v>
      </c>
      <c r="B397" s="3" t="s">
        <v>47</v>
      </c>
      <c r="C397" s="3" t="s">
        <v>24</v>
      </c>
      <c r="D397" s="3" t="s">
        <v>21</v>
      </c>
      <c r="E397" s="3" t="s">
        <v>26</v>
      </c>
      <c r="F397" s="3">
        <v>69</v>
      </c>
      <c r="G397" s="3">
        <v>5.68</v>
      </c>
      <c r="H397" s="3">
        <v>0.14000000000000001</v>
      </c>
      <c r="I397" s="3">
        <v>0.64</v>
      </c>
      <c r="J397" s="3">
        <v>4.34</v>
      </c>
      <c r="K397" s="3">
        <v>2</v>
      </c>
      <c r="L397" s="3">
        <v>27.52</v>
      </c>
      <c r="M397" s="4" t="str">
        <f t="shared" si="1"/>
        <v>Low</v>
      </c>
    </row>
    <row r="398" spans="1:13" ht="14.25" customHeight="1" x14ac:dyDescent="0.3">
      <c r="A398" s="3" t="s">
        <v>52</v>
      </c>
      <c r="B398" s="3" t="s">
        <v>47</v>
      </c>
      <c r="C398" s="3" t="s">
        <v>29</v>
      </c>
      <c r="D398" s="3" t="s">
        <v>17</v>
      </c>
      <c r="E398" s="3" t="s">
        <v>26</v>
      </c>
      <c r="F398" s="3">
        <v>67</v>
      </c>
      <c r="G398" s="3">
        <v>5.74</v>
      </c>
      <c r="H398" s="3">
        <v>0.14000000000000001</v>
      </c>
      <c r="I398" s="3">
        <v>0.86</v>
      </c>
      <c r="J398" s="3">
        <v>3.58</v>
      </c>
      <c r="K398" s="3">
        <v>0</v>
      </c>
      <c r="L398" s="3">
        <v>23.61</v>
      </c>
      <c r="M398" s="4" t="str">
        <f t="shared" si="1"/>
        <v>Low</v>
      </c>
    </row>
    <row r="399" spans="1:13" ht="14.25" customHeight="1" x14ac:dyDescent="0.3">
      <c r="A399" s="3" t="s">
        <v>52</v>
      </c>
      <c r="B399" s="3" t="s">
        <v>47</v>
      </c>
      <c r="C399" s="3" t="s">
        <v>29</v>
      </c>
      <c r="D399" s="3" t="s">
        <v>19</v>
      </c>
      <c r="E399" s="3" t="s">
        <v>22</v>
      </c>
      <c r="F399" s="3">
        <v>70</v>
      </c>
      <c r="G399" s="3">
        <v>4.16</v>
      </c>
      <c r="H399" s="3">
        <v>0.16</v>
      </c>
      <c r="I399" s="3">
        <v>0.77</v>
      </c>
      <c r="J399" s="3">
        <v>4.75</v>
      </c>
      <c r="K399" s="3">
        <v>0</v>
      </c>
      <c r="L399" s="3">
        <v>21.24</v>
      </c>
      <c r="M399" s="4" t="str">
        <f t="shared" si="1"/>
        <v>Low</v>
      </c>
    </row>
    <row r="400" spans="1:13" ht="14.25" customHeight="1" x14ac:dyDescent="0.3">
      <c r="A400" s="3" t="s">
        <v>52</v>
      </c>
      <c r="B400" s="3" t="s">
        <v>47</v>
      </c>
      <c r="C400" s="3" t="s">
        <v>29</v>
      </c>
      <c r="D400" s="3" t="s">
        <v>21</v>
      </c>
      <c r="E400" s="3" t="s">
        <v>22</v>
      </c>
      <c r="F400" s="3">
        <v>50</v>
      </c>
      <c r="G400" s="3">
        <v>6.11</v>
      </c>
      <c r="H400" s="3">
        <v>0.28000000000000003</v>
      </c>
      <c r="I400" s="3">
        <v>0.79</v>
      </c>
      <c r="J400" s="3">
        <v>4.21</v>
      </c>
      <c r="K400" s="3">
        <v>0</v>
      </c>
      <c r="L400" s="3">
        <v>24.16</v>
      </c>
      <c r="M400" s="4" t="str">
        <f t="shared" si="1"/>
        <v>Low</v>
      </c>
    </row>
    <row r="401" spans="1:13" ht="14.25" customHeight="1" x14ac:dyDescent="0.3">
      <c r="A401" s="3" t="s">
        <v>52</v>
      </c>
      <c r="B401" s="3" t="s">
        <v>47</v>
      </c>
      <c r="C401" s="3" t="s">
        <v>32</v>
      </c>
      <c r="D401" s="3" t="s">
        <v>17</v>
      </c>
      <c r="E401" s="3" t="s">
        <v>18</v>
      </c>
      <c r="F401" s="3">
        <v>32</v>
      </c>
      <c r="G401" s="3">
        <v>6.41</v>
      </c>
      <c r="H401" s="3">
        <v>0.04</v>
      </c>
      <c r="I401" s="3">
        <v>0.82</v>
      </c>
      <c r="J401" s="3">
        <v>3.77</v>
      </c>
      <c r="K401" s="3">
        <v>0</v>
      </c>
      <c r="L401" s="3">
        <v>24.62</v>
      </c>
      <c r="M401" s="4" t="str">
        <f t="shared" si="1"/>
        <v>Low</v>
      </c>
    </row>
    <row r="402" spans="1:13" ht="14.25" customHeight="1" x14ac:dyDescent="0.3">
      <c r="A402" s="3" t="s">
        <v>52</v>
      </c>
      <c r="B402" s="3" t="s">
        <v>47</v>
      </c>
      <c r="C402" s="3" t="s">
        <v>32</v>
      </c>
      <c r="D402" s="3" t="s">
        <v>19</v>
      </c>
      <c r="E402" s="3" t="s">
        <v>26</v>
      </c>
      <c r="F402" s="3">
        <v>77</v>
      </c>
      <c r="G402" s="3">
        <v>6.01</v>
      </c>
      <c r="H402" s="3">
        <v>7.0000000000000007E-2</v>
      </c>
      <c r="I402" s="3">
        <v>0.85</v>
      </c>
      <c r="J402" s="3">
        <v>3.64</v>
      </c>
      <c r="K402" s="3">
        <v>1</v>
      </c>
      <c r="L402" s="3">
        <v>26.02</v>
      </c>
      <c r="M402" s="4" t="str">
        <f t="shared" si="1"/>
        <v>Low</v>
      </c>
    </row>
    <row r="403" spans="1:13" ht="14.25" customHeight="1" x14ac:dyDescent="0.3">
      <c r="A403" s="3" t="s">
        <v>52</v>
      </c>
      <c r="B403" s="3" t="s">
        <v>47</v>
      </c>
      <c r="C403" s="3" t="s">
        <v>32</v>
      </c>
      <c r="D403" s="3" t="s">
        <v>21</v>
      </c>
      <c r="E403" s="3" t="s">
        <v>18</v>
      </c>
      <c r="F403" s="3">
        <v>55</v>
      </c>
      <c r="G403" s="3">
        <v>6.18</v>
      </c>
      <c r="H403" s="3">
        <v>0.09</v>
      </c>
      <c r="I403" s="3">
        <v>0.65</v>
      </c>
      <c r="J403" s="3">
        <v>4.0999999999999996</v>
      </c>
      <c r="K403" s="3">
        <v>2</v>
      </c>
      <c r="L403" s="3">
        <v>28.27</v>
      </c>
      <c r="M403" s="4" t="str">
        <f t="shared" si="1"/>
        <v>High</v>
      </c>
    </row>
    <row r="404" spans="1:13" ht="14.25" customHeight="1" x14ac:dyDescent="0.3">
      <c r="A404" s="3" t="s">
        <v>52</v>
      </c>
      <c r="B404" s="3" t="s">
        <v>47</v>
      </c>
      <c r="C404" s="3" t="s">
        <v>33</v>
      </c>
      <c r="D404" s="3" t="s">
        <v>17</v>
      </c>
      <c r="E404" s="3" t="s">
        <v>22</v>
      </c>
      <c r="F404" s="3">
        <v>67</v>
      </c>
      <c r="G404" s="3">
        <v>6.16</v>
      </c>
      <c r="H404" s="3">
        <v>0.1</v>
      </c>
      <c r="I404" s="3">
        <v>0.87</v>
      </c>
      <c r="J404" s="3">
        <v>4.68</v>
      </c>
      <c r="K404" s="3">
        <v>2</v>
      </c>
      <c r="L404" s="3">
        <v>28.24</v>
      </c>
      <c r="M404" s="4" t="str">
        <f t="shared" si="1"/>
        <v>High</v>
      </c>
    </row>
    <row r="405" spans="1:13" ht="14.25" customHeight="1" x14ac:dyDescent="0.3">
      <c r="A405" s="3" t="s">
        <v>52</v>
      </c>
      <c r="B405" s="3" t="s">
        <v>47</v>
      </c>
      <c r="C405" s="3" t="s">
        <v>33</v>
      </c>
      <c r="D405" s="3" t="s">
        <v>19</v>
      </c>
      <c r="E405" s="3" t="s">
        <v>26</v>
      </c>
      <c r="F405" s="3">
        <v>45</v>
      </c>
      <c r="G405" s="3">
        <v>6.04</v>
      </c>
      <c r="H405" s="3">
        <v>0.15</v>
      </c>
      <c r="I405" s="3">
        <v>0.86</v>
      </c>
      <c r="J405" s="3">
        <v>3.71</v>
      </c>
      <c r="K405" s="3">
        <v>0</v>
      </c>
      <c r="L405" s="3">
        <v>24.06</v>
      </c>
      <c r="M405" s="4" t="str">
        <f t="shared" si="1"/>
        <v>Low</v>
      </c>
    </row>
    <row r="406" spans="1:13" ht="14.25" customHeight="1" x14ac:dyDescent="0.3">
      <c r="A406" s="3" t="s">
        <v>52</v>
      </c>
      <c r="B406" s="3" t="s">
        <v>47</v>
      </c>
      <c r="C406" s="3" t="s">
        <v>33</v>
      </c>
      <c r="D406" s="3" t="s">
        <v>21</v>
      </c>
      <c r="E406" s="3" t="s">
        <v>26</v>
      </c>
      <c r="F406" s="3">
        <v>76</v>
      </c>
      <c r="G406" s="3">
        <v>5.76</v>
      </c>
      <c r="H406" s="3">
        <v>0.12</v>
      </c>
      <c r="I406" s="3">
        <v>0.84</v>
      </c>
      <c r="J406" s="3">
        <v>4.49</v>
      </c>
      <c r="K406" s="3">
        <v>2</v>
      </c>
      <c r="L406" s="3">
        <v>27.64</v>
      </c>
      <c r="M406" s="4" t="str">
        <f t="shared" si="1"/>
        <v>Low</v>
      </c>
    </row>
    <row r="407" spans="1:13" ht="14.25" customHeight="1" x14ac:dyDescent="0.3">
      <c r="A407" s="3" t="s">
        <v>52</v>
      </c>
      <c r="B407" s="3" t="s">
        <v>48</v>
      </c>
      <c r="C407" s="3" t="s">
        <v>16</v>
      </c>
      <c r="D407" s="3" t="s">
        <v>17</v>
      </c>
      <c r="E407" s="3" t="s">
        <v>18</v>
      </c>
      <c r="F407" s="3">
        <v>66</v>
      </c>
      <c r="G407" s="3">
        <v>4.45</v>
      </c>
      <c r="H407" s="3">
        <v>0.02</v>
      </c>
      <c r="I407" s="3">
        <v>0.8</v>
      </c>
      <c r="J407" s="3">
        <v>4.7</v>
      </c>
      <c r="K407" s="3">
        <v>0</v>
      </c>
      <c r="L407" s="3">
        <v>21.68</v>
      </c>
      <c r="M407" s="4" t="str">
        <f t="shared" si="1"/>
        <v>Low</v>
      </c>
    </row>
    <row r="408" spans="1:13" ht="14.25" customHeight="1" x14ac:dyDescent="0.3">
      <c r="A408" s="3" t="s">
        <v>52</v>
      </c>
      <c r="B408" s="3" t="s">
        <v>48</v>
      </c>
      <c r="C408" s="3" t="s">
        <v>16</v>
      </c>
      <c r="D408" s="3" t="s">
        <v>19</v>
      </c>
      <c r="E408" s="3" t="s">
        <v>18</v>
      </c>
      <c r="F408" s="3">
        <v>53</v>
      </c>
      <c r="G408" s="3">
        <v>5.51</v>
      </c>
      <c r="H408" s="3">
        <v>0.09</v>
      </c>
      <c r="I408" s="3">
        <v>0.87</v>
      </c>
      <c r="J408" s="3">
        <v>3.83</v>
      </c>
      <c r="K408" s="3">
        <v>0</v>
      </c>
      <c r="L408" s="3">
        <v>23.26</v>
      </c>
      <c r="M408" s="4" t="str">
        <f t="shared" si="1"/>
        <v>Low</v>
      </c>
    </row>
    <row r="409" spans="1:13" ht="14.25" customHeight="1" x14ac:dyDescent="0.3">
      <c r="A409" s="3" t="s">
        <v>52</v>
      </c>
      <c r="B409" s="3" t="s">
        <v>48</v>
      </c>
      <c r="C409" s="3" t="s">
        <v>16</v>
      </c>
      <c r="D409" s="3" t="s">
        <v>21</v>
      </c>
      <c r="E409" s="3" t="s">
        <v>18</v>
      </c>
      <c r="F409" s="3">
        <v>73</v>
      </c>
      <c r="G409" s="3">
        <v>6.47</v>
      </c>
      <c r="H409" s="3">
        <v>0.11</v>
      </c>
      <c r="I409" s="3">
        <v>0.63</v>
      </c>
      <c r="J409" s="3">
        <v>3.88</v>
      </c>
      <c r="K409" s="3">
        <v>0</v>
      </c>
      <c r="L409" s="3">
        <v>24.7</v>
      </c>
      <c r="M409" s="4" t="str">
        <f t="shared" si="1"/>
        <v>Low</v>
      </c>
    </row>
    <row r="410" spans="1:13" ht="14.25" customHeight="1" x14ac:dyDescent="0.3">
      <c r="A410" s="3" t="s">
        <v>52</v>
      </c>
      <c r="B410" s="3" t="s">
        <v>48</v>
      </c>
      <c r="C410" s="3" t="s">
        <v>24</v>
      </c>
      <c r="D410" s="3" t="s">
        <v>17</v>
      </c>
      <c r="E410" s="3" t="s">
        <v>26</v>
      </c>
      <c r="F410" s="3">
        <v>30</v>
      </c>
      <c r="G410" s="3">
        <v>4.66</v>
      </c>
      <c r="H410" s="3">
        <v>0.12</v>
      </c>
      <c r="I410" s="3">
        <v>0.89</v>
      </c>
      <c r="J410" s="3">
        <v>4.74</v>
      </c>
      <c r="K410" s="3">
        <v>0</v>
      </c>
      <c r="L410" s="3">
        <v>21.99</v>
      </c>
      <c r="M410" s="4" t="str">
        <f t="shared" si="1"/>
        <v>Low</v>
      </c>
    </row>
    <row r="411" spans="1:13" ht="14.25" customHeight="1" x14ac:dyDescent="0.3">
      <c r="A411" s="3" t="s">
        <v>52</v>
      </c>
      <c r="B411" s="3" t="s">
        <v>48</v>
      </c>
      <c r="C411" s="3" t="s">
        <v>24</v>
      </c>
      <c r="D411" s="3" t="s">
        <v>19</v>
      </c>
      <c r="E411" s="3" t="s">
        <v>18</v>
      </c>
      <c r="F411" s="3">
        <v>47</v>
      </c>
      <c r="G411" s="3">
        <v>4.4000000000000004</v>
      </c>
      <c r="H411" s="3">
        <v>0.15</v>
      </c>
      <c r="I411" s="3">
        <v>0.81</v>
      </c>
      <c r="J411" s="3">
        <v>4.25</v>
      </c>
      <c r="K411" s="3">
        <v>0</v>
      </c>
      <c r="L411" s="3">
        <v>21.6</v>
      </c>
      <c r="M411" s="4" t="str">
        <f t="shared" si="1"/>
        <v>Low</v>
      </c>
    </row>
    <row r="412" spans="1:13" ht="14.25" customHeight="1" x14ac:dyDescent="0.3">
      <c r="A412" s="3" t="s">
        <v>52</v>
      </c>
      <c r="B412" s="3" t="s">
        <v>48</v>
      </c>
      <c r="C412" s="3" t="s">
        <v>24</v>
      </c>
      <c r="D412" s="3" t="s">
        <v>21</v>
      </c>
      <c r="E412" s="3" t="s">
        <v>26</v>
      </c>
      <c r="F412" s="3">
        <v>30</v>
      </c>
      <c r="G412" s="3">
        <v>6.01</v>
      </c>
      <c r="H412" s="3">
        <v>0.05</v>
      </c>
      <c r="I412" s="3">
        <v>0.61</v>
      </c>
      <c r="J412" s="3">
        <v>3.55</v>
      </c>
      <c r="K412" s="3">
        <v>0</v>
      </c>
      <c r="L412" s="3">
        <v>24.02</v>
      </c>
      <c r="M412" s="4" t="str">
        <f t="shared" si="1"/>
        <v>Low</v>
      </c>
    </row>
    <row r="413" spans="1:13" ht="14.25" customHeight="1" x14ac:dyDescent="0.3">
      <c r="A413" s="3" t="s">
        <v>52</v>
      </c>
      <c r="B413" s="3" t="s">
        <v>48</v>
      </c>
      <c r="C413" s="3" t="s">
        <v>29</v>
      </c>
      <c r="D413" s="3" t="s">
        <v>17</v>
      </c>
      <c r="E413" s="3" t="s">
        <v>26</v>
      </c>
      <c r="F413" s="3">
        <v>74</v>
      </c>
      <c r="G413" s="3">
        <v>5.05</v>
      </c>
      <c r="H413" s="3">
        <v>0.05</v>
      </c>
      <c r="I413" s="3">
        <v>0.81</v>
      </c>
      <c r="J413" s="3">
        <v>4.43</v>
      </c>
      <c r="K413" s="3">
        <v>0</v>
      </c>
      <c r="L413" s="3">
        <v>22.58</v>
      </c>
      <c r="M413" s="4" t="str">
        <f t="shared" si="1"/>
        <v>Low</v>
      </c>
    </row>
    <row r="414" spans="1:13" ht="14.25" customHeight="1" x14ac:dyDescent="0.3">
      <c r="A414" s="3" t="s">
        <v>52</v>
      </c>
      <c r="B414" s="3" t="s">
        <v>48</v>
      </c>
      <c r="C414" s="3" t="s">
        <v>29</v>
      </c>
      <c r="D414" s="3" t="s">
        <v>19</v>
      </c>
      <c r="E414" s="3" t="s">
        <v>18</v>
      </c>
      <c r="F414" s="3">
        <v>41</v>
      </c>
      <c r="G414" s="3">
        <v>5.19</v>
      </c>
      <c r="H414" s="3">
        <v>7.0000000000000007E-2</v>
      </c>
      <c r="I414" s="3">
        <v>0.88</v>
      </c>
      <c r="J414" s="3">
        <v>4.7300000000000004</v>
      </c>
      <c r="K414" s="3">
        <v>2</v>
      </c>
      <c r="L414" s="3">
        <v>26.78</v>
      </c>
      <c r="M414" s="4" t="str">
        <f t="shared" si="1"/>
        <v>Low</v>
      </c>
    </row>
    <row r="415" spans="1:13" ht="14.25" customHeight="1" x14ac:dyDescent="0.3">
      <c r="A415" s="3" t="s">
        <v>52</v>
      </c>
      <c r="B415" s="3" t="s">
        <v>48</v>
      </c>
      <c r="C415" s="3" t="s">
        <v>29</v>
      </c>
      <c r="D415" s="3" t="s">
        <v>21</v>
      </c>
      <c r="E415" s="3" t="s">
        <v>18</v>
      </c>
      <c r="F415" s="3">
        <v>33</v>
      </c>
      <c r="G415" s="3">
        <v>6.96</v>
      </c>
      <c r="H415" s="3">
        <v>0.13</v>
      </c>
      <c r="I415" s="3">
        <v>0.82</v>
      </c>
      <c r="J415" s="3">
        <v>4.21</v>
      </c>
      <c r="K415" s="3">
        <v>0</v>
      </c>
      <c r="L415" s="3">
        <v>25.44</v>
      </c>
      <c r="M415" s="4" t="str">
        <f t="shared" si="1"/>
        <v>Low</v>
      </c>
    </row>
    <row r="416" spans="1:13" ht="14.25" customHeight="1" x14ac:dyDescent="0.3">
      <c r="A416" s="3" t="s">
        <v>52</v>
      </c>
      <c r="B416" s="3" t="s">
        <v>48</v>
      </c>
      <c r="C416" s="3" t="s">
        <v>32</v>
      </c>
      <c r="D416" s="3" t="s">
        <v>17</v>
      </c>
      <c r="E416" s="3" t="s">
        <v>22</v>
      </c>
      <c r="F416" s="3">
        <v>77</v>
      </c>
      <c r="G416" s="3">
        <v>6.89</v>
      </c>
      <c r="H416" s="3">
        <v>0.1</v>
      </c>
      <c r="I416" s="3">
        <v>0.76</v>
      </c>
      <c r="J416" s="3">
        <v>3.59</v>
      </c>
      <c r="K416" s="3">
        <v>2</v>
      </c>
      <c r="L416" s="3">
        <v>29.34</v>
      </c>
      <c r="M416" s="4" t="str">
        <f t="shared" si="1"/>
        <v>High</v>
      </c>
    </row>
    <row r="417" spans="1:13" ht="14.25" customHeight="1" x14ac:dyDescent="0.3">
      <c r="A417" s="3" t="s">
        <v>52</v>
      </c>
      <c r="B417" s="3" t="s">
        <v>48</v>
      </c>
      <c r="C417" s="3" t="s">
        <v>32</v>
      </c>
      <c r="D417" s="3" t="s">
        <v>19</v>
      </c>
      <c r="E417" s="3" t="s">
        <v>18</v>
      </c>
      <c r="F417" s="3">
        <v>32</v>
      </c>
      <c r="G417" s="3">
        <v>5.58</v>
      </c>
      <c r="H417" s="3">
        <v>0.03</v>
      </c>
      <c r="I417" s="3">
        <v>0.87</v>
      </c>
      <c r="J417" s="3">
        <v>3.56</v>
      </c>
      <c r="K417" s="3">
        <v>1</v>
      </c>
      <c r="L417" s="3">
        <v>25.37</v>
      </c>
      <c r="M417" s="4" t="str">
        <f t="shared" si="1"/>
        <v>Low</v>
      </c>
    </row>
    <row r="418" spans="1:13" ht="14.25" customHeight="1" x14ac:dyDescent="0.3">
      <c r="A418" s="3" t="s">
        <v>52</v>
      </c>
      <c r="B418" s="3" t="s">
        <v>48</v>
      </c>
      <c r="C418" s="3" t="s">
        <v>32</v>
      </c>
      <c r="D418" s="3" t="s">
        <v>21</v>
      </c>
      <c r="E418" s="3" t="s">
        <v>26</v>
      </c>
      <c r="F418" s="3">
        <v>53</v>
      </c>
      <c r="G418" s="3">
        <v>5.05</v>
      </c>
      <c r="H418" s="3">
        <v>0.13</v>
      </c>
      <c r="I418" s="3">
        <v>0.73</v>
      </c>
      <c r="J418" s="3">
        <v>3.87</v>
      </c>
      <c r="K418" s="3">
        <v>0</v>
      </c>
      <c r="L418" s="3">
        <v>22.58</v>
      </c>
      <c r="M418" s="4" t="str">
        <f t="shared" si="1"/>
        <v>Low</v>
      </c>
    </row>
    <row r="419" spans="1:13" ht="14.25" customHeight="1" x14ac:dyDescent="0.3">
      <c r="A419" s="3" t="s">
        <v>52</v>
      </c>
      <c r="B419" s="3" t="s">
        <v>48</v>
      </c>
      <c r="C419" s="3" t="s">
        <v>33</v>
      </c>
      <c r="D419" s="3" t="s">
        <v>17</v>
      </c>
      <c r="E419" s="3" t="s">
        <v>22</v>
      </c>
      <c r="F419" s="3">
        <v>70</v>
      </c>
      <c r="G419" s="3">
        <v>6.42</v>
      </c>
      <c r="H419" s="3">
        <v>0.05</v>
      </c>
      <c r="I419" s="3">
        <v>0.81</v>
      </c>
      <c r="J419" s="3">
        <v>4.18</v>
      </c>
      <c r="K419" s="3">
        <v>0</v>
      </c>
      <c r="L419" s="3">
        <v>24.63</v>
      </c>
      <c r="M419" s="4" t="str">
        <f t="shared" si="1"/>
        <v>Low</v>
      </c>
    </row>
    <row r="420" spans="1:13" ht="14.25" customHeight="1" x14ac:dyDescent="0.3">
      <c r="A420" s="3" t="s">
        <v>52</v>
      </c>
      <c r="B420" s="3" t="s">
        <v>48</v>
      </c>
      <c r="C420" s="3" t="s">
        <v>33</v>
      </c>
      <c r="D420" s="3" t="s">
        <v>19</v>
      </c>
      <c r="E420" s="3" t="s">
        <v>26</v>
      </c>
      <c r="F420" s="3">
        <v>36</v>
      </c>
      <c r="G420" s="3">
        <v>6.99</v>
      </c>
      <c r="H420" s="3">
        <v>0.03</v>
      </c>
      <c r="I420" s="3">
        <v>0.78</v>
      </c>
      <c r="J420" s="3">
        <v>3.9</v>
      </c>
      <c r="K420" s="3">
        <v>1</v>
      </c>
      <c r="L420" s="3">
        <v>27.48</v>
      </c>
      <c r="M420" s="4" t="str">
        <f t="shared" si="1"/>
        <v>Low</v>
      </c>
    </row>
    <row r="421" spans="1:13" ht="14.25" customHeight="1" x14ac:dyDescent="0.3">
      <c r="A421" s="3" t="s">
        <v>52</v>
      </c>
      <c r="B421" s="3" t="s">
        <v>48</v>
      </c>
      <c r="C421" s="3" t="s">
        <v>33</v>
      </c>
      <c r="D421" s="3" t="s">
        <v>21</v>
      </c>
      <c r="E421" s="3" t="s">
        <v>18</v>
      </c>
      <c r="F421" s="3">
        <v>70</v>
      </c>
      <c r="G421" s="3">
        <v>5.84</v>
      </c>
      <c r="H421" s="3">
        <v>0.13</v>
      </c>
      <c r="I421" s="3">
        <v>0.71</v>
      </c>
      <c r="J421" s="3">
        <v>3.89</v>
      </c>
      <c r="K421" s="3">
        <v>0</v>
      </c>
      <c r="L421" s="3">
        <v>23.76</v>
      </c>
      <c r="M421" s="4" t="str">
        <f t="shared" si="1"/>
        <v>Low</v>
      </c>
    </row>
    <row r="422" spans="1:13" ht="14.25" customHeight="1" x14ac:dyDescent="0.3">
      <c r="A422" s="3" t="s">
        <v>52</v>
      </c>
      <c r="B422" s="3" t="s">
        <v>49</v>
      </c>
      <c r="C422" s="3" t="s">
        <v>16</v>
      </c>
      <c r="D422" s="3" t="s">
        <v>17</v>
      </c>
      <c r="E422" s="3" t="s">
        <v>26</v>
      </c>
      <c r="F422" s="3">
        <v>56</v>
      </c>
      <c r="G422" s="3">
        <v>5.38</v>
      </c>
      <c r="H422" s="3">
        <v>0.06</v>
      </c>
      <c r="I422" s="3">
        <v>0.9</v>
      </c>
      <c r="J422" s="3">
        <v>4.03</v>
      </c>
      <c r="K422" s="3">
        <v>0</v>
      </c>
      <c r="L422" s="3">
        <v>23.07</v>
      </c>
      <c r="M422" s="4" t="str">
        <f t="shared" si="1"/>
        <v>Low</v>
      </c>
    </row>
    <row r="423" spans="1:13" ht="14.25" customHeight="1" x14ac:dyDescent="0.3">
      <c r="A423" s="3" t="s">
        <v>52</v>
      </c>
      <c r="B423" s="3" t="s">
        <v>49</v>
      </c>
      <c r="C423" s="3" t="s">
        <v>16</v>
      </c>
      <c r="D423" s="3" t="s">
        <v>19</v>
      </c>
      <c r="E423" s="3" t="s">
        <v>26</v>
      </c>
      <c r="F423" s="3">
        <v>50</v>
      </c>
      <c r="G423" s="3">
        <v>5.62</v>
      </c>
      <c r="H423" s="3">
        <v>0.04</v>
      </c>
      <c r="I423" s="3">
        <v>0.81</v>
      </c>
      <c r="J423" s="3">
        <v>4.04</v>
      </c>
      <c r="K423" s="3">
        <v>1</v>
      </c>
      <c r="L423" s="3">
        <v>25.43</v>
      </c>
      <c r="M423" s="4" t="str">
        <f t="shared" si="1"/>
        <v>Low</v>
      </c>
    </row>
    <row r="424" spans="1:13" ht="14.25" customHeight="1" x14ac:dyDescent="0.3">
      <c r="A424" s="3" t="s">
        <v>52</v>
      </c>
      <c r="B424" s="3" t="s">
        <v>49</v>
      </c>
      <c r="C424" s="3" t="s">
        <v>16</v>
      </c>
      <c r="D424" s="3" t="s">
        <v>21</v>
      </c>
      <c r="E424" s="3" t="s">
        <v>22</v>
      </c>
      <c r="F424" s="3">
        <v>63</v>
      </c>
      <c r="G424" s="3">
        <v>6.42</v>
      </c>
      <c r="H424" s="3">
        <v>0.28999999999999998</v>
      </c>
      <c r="I424" s="3">
        <v>0.61</v>
      </c>
      <c r="J424" s="3">
        <v>3.84</v>
      </c>
      <c r="K424" s="3">
        <v>1</v>
      </c>
      <c r="L424" s="3">
        <v>26.63</v>
      </c>
      <c r="M424" s="4" t="str">
        <f t="shared" si="1"/>
        <v>Low</v>
      </c>
    </row>
    <row r="425" spans="1:13" ht="14.25" customHeight="1" x14ac:dyDescent="0.3">
      <c r="A425" s="3" t="s">
        <v>52</v>
      </c>
      <c r="B425" s="3" t="s">
        <v>49</v>
      </c>
      <c r="C425" s="3" t="s">
        <v>24</v>
      </c>
      <c r="D425" s="3" t="s">
        <v>17</v>
      </c>
      <c r="E425" s="3" t="s">
        <v>22</v>
      </c>
      <c r="F425" s="3">
        <v>54</v>
      </c>
      <c r="G425" s="3">
        <v>7.4</v>
      </c>
      <c r="H425" s="3">
        <v>0.08</v>
      </c>
      <c r="I425" s="3">
        <v>0.83</v>
      </c>
      <c r="J425" s="3">
        <v>4.51</v>
      </c>
      <c r="K425" s="3">
        <v>1</v>
      </c>
      <c r="L425" s="3">
        <v>28.1</v>
      </c>
      <c r="M425" s="4" t="str">
        <f t="shared" si="1"/>
        <v>High</v>
      </c>
    </row>
    <row r="426" spans="1:13" ht="14.25" customHeight="1" x14ac:dyDescent="0.3">
      <c r="A426" s="3" t="s">
        <v>52</v>
      </c>
      <c r="B426" s="3" t="s">
        <v>49</v>
      </c>
      <c r="C426" s="3" t="s">
        <v>24</v>
      </c>
      <c r="D426" s="3" t="s">
        <v>19</v>
      </c>
      <c r="E426" s="3" t="s">
        <v>22</v>
      </c>
      <c r="F426" s="3">
        <v>46</v>
      </c>
      <c r="G426" s="3">
        <v>7.08</v>
      </c>
      <c r="H426" s="3">
        <v>0.17</v>
      </c>
      <c r="I426" s="3">
        <v>0.89</v>
      </c>
      <c r="J426" s="3">
        <v>4.4000000000000004</v>
      </c>
      <c r="K426" s="3">
        <v>1</v>
      </c>
      <c r="L426" s="3">
        <v>27.62</v>
      </c>
      <c r="M426" s="4" t="str">
        <f t="shared" si="1"/>
        <v>Low</v>
      </c>
    </row>
    <row r="427" spans="1:13" ht="14.25" customHeight="1" x14ac:dyDescent="0.3">
      <c r="A427" s="3" t="s">
        <v>52</v>
      </c>
      <c r="B427" s="3" t="s">
        <v>49</v>
      </c>
      <c r="C427" s="3" t="s">
        <v>24</v>
      </c>
      <c r="D427" s="3" t="s">
        <v>21</v>
      </c>
      <c r="E427" s="3" t="s">
        <v>26</v>
      </c>
      <c r="F427" s="3">
        <v>46</v>
      </c>
      <c r="G427" s="3">
        <v>7</v>
      </c>
      <c r="H427" s="3">
        <v>0.02</v>
      </c>
      <c r="I427" s="3">
        <v>0.61</v>
      </c>
      <c r="J427" s="3">
        <v>3.68</v>
      </c>
      <c r="K427" s="3">
        <v>0</v>
      </c>
      <c r="L427" s="3">
        <v>25.5</v>
      </c>
      <c r="M427" s="4" t="str">
        <f t="shared" si="1"/>
        <v>Low</v>
      </c>
    </row>
    <row r="428" spans="1:13" ht="14.25" customHeight="1" x14ac:dyDescent="0.3">
      <c r="A428" s="3" t="s">
        <v>52</v>
      </c>
      <c r="B428" s="3" t="s">
        <v>49</v>
      </c>
      <c r="C428" s="3" t="s">
        <v>29</v>
      </c>
      <c r="D428" s="3" t="s">
        <v>17</v>
      </c>
      <c r="E428" s="3" t="s">
        <v>18</v>
      </c>
      <c r="F428" s="3">
        <v>32</v>
      </c>
      <c r="G428" s="3">
        <v>6.31</v>
      </c>
      <c r="H428" s="3">
        <v>0.11</v>
      </c>
      <c r="I428" s="3">
        <v>0.82</v>
      </c>
      <c r="J428" s="3">
        <v>4.21</v>
      </c>
      <c r="K428" s="3">
        <v>0</v>
      </c>
      <c r="L428" s="3">
        <v>24.46</v>
      </c>
      <c r="M428" s="4" t="str">
        <f t="shared" si="1"/>
        <v>Low</v>
      </c>
    </row>
    <row r="429" spans="1:13" ht="14.25" customHeight="1" x14ac:dyDescent="0.3">
      <c r="A429" s="3" t="s">
        <v>52</v>
      </c>
      <c r="B429" s="3" t="s">
        <v>49</v>
      </c>
      <c r="C429" s="3" t="s">
        <v>29</v>
      </c>
      <c r="D429" s="3" t="s">
        <v>19</v>
      </c>
      <c r="E429" s="3" t="s">
        <v>18</v>
      </c>
      <c r="F429" s="3">
        <v>65</v>
      </c>
      <c r="G429" s="3">
        <v>5.55</v>
      </c>
      <c r="H429" s="3">
        <v>0.12</v>
      </c>
      <c r="I429" s="3">
        <v>0.86</v>
      </c>
      <c r="J429" s="3">
        <v>4</v>
      </c>
      <c r="K429" s="3">
        <v>0</v>
      </c>
      <c r="L429" s="3">
        <v>23.32</v>
      </c>
      <c r="M429" s="4" t="str">
        <f t="shared" si="1"/>
        <v>Low</v>
      </c>
    </row>
    <row r="430" spans="1:13" ht="14.25" customHeight="1" x14ac:dyDescent="0.3">
      <c r="A430" s="3" t="s">
        <v>52</v>
      </c>
      <c r="B430" s="3" t="s">
        <v>49</v>
      </c>
      <c r="C430" s="3" t="s">
        <v>29</v>
      </c>
      <c r="D430" s="3" t="s">
        <v>21</v>
      </c>
      <c r="E430" s="3" t="s">
        <v>26</v>
      </c>
      <c r="F430" s="3">
        <v>69</v>
      </c>
      <c r="G430" s="3">
        <v>6.49</v>
      </c>
      <c r="H430" s="3">
        <v>0.13</v>
      </c>
      <c r="I430" s="3">
        <v>0.62</v>
      </c>
      <c r="J430" s="3">
        <v>4.2300000000000004</v>
      </c>
      <c r="K430" s="3">
        <v>0</v>
      </c>
      <c r="L430" s="3">
        <v>24.74</v>
      </c>
      <c r="M430" s="4" t="str">
        <f t="shared" si="1"/>
        <v>Low</v>
      </c>
    </row>
    <row r="431" spans="1:13" ht="14.25" customHeight="1" x14ac:dyDescent="0.3">
      <c r="A431" s="3" t="s">
        <v>52</v>
      </c>
      <c r="B431" s="3" t="s">
        <v>49</v>
      </c>
      <c r="C431" s="3" t="s">
        <v>32</v>
      </c>
      <c r="D431" s="3" t="s">
        <v>17</v>
      </c>
      <c r="E431" s="3" t="s">
        <v>26</v>
      </c>
      <c r="F431" s="3">
        <v>62</v>
      </c>
      <c r="G431" s="3">
        <v>7.25</v>
      </c>
      <c r="H431" s="3">
        <v>0.15</v>
      </c>
      <c r="I431" s="3">
        <v>0.76</v>
      </c>
      <c r="J431" s="3">
        <v>4.16</v>
      </c>
      <c r="K431" s="3">
        <v>1</v>
      </c>
      <c r="L431" s="3">
        <v>27.88</v>
      </c>
      <c r="M431" s="4" t="str">
        <f t="shared" si="1"/>
        <v>High</v>
      </c>
    </row>
    <row r="432" spans="1:13" ht="14.25" customHeight="1" x14ac:dyDescent="0.3">
      <c r="A432" s="3" t="s">
        <v>52</v>
      </c>
      <c r="B432" s="3" t="s">
        <v>49</v>
      </c>
      <c r="C432" s="3" t="s">
        <v>32</v>
      </c>
      <c r="D432" s="3" t="s">
        <v>19</v>
      </c>
      <c r="E432" s="3" t="s">
        <v>26</v>
      </c>
      <c r="F432" s="3">
        <v>42</v>
      </c>
      <c r="G432" s="3">
        <v>6.19</v>
      </c>
      <c r="H432" s="3">
        <v>0.11</v>
      </c>
      <c r="I432" s="3">
        <v>0.84</v>
      </c>
      <c r="J432" s="3">
        <v>3.91</v>
      </c>
      <c r="K432" s="3">
        <v>2</v>
      </c>
      <c r="L432" s="3">
        <v>28.28</v>
      </c>
      <c r="M432" s="4" t="str">
        <f t="shared" si="1"/>
        <v>High</v>
      </c>
    </row>
    <row r="433" spans="1:13" ht="14.25" customHeight="1" x14ac:dyDescent="0.3">
      <c r="A433" s="3" t="s">
        <v>52</v>
      </c>
      <c r="B433" s="3" t="s">
        <v>49</v>
      </c>
      <c r="C433" s="3" t="s">
        <v>32</v>
      </c>
      <c r="D433" s="3" t="s">
        <v>21</v>
      </c>
      <c r="E433" s="3" t="s">
        <v>18</v>
      </c>
      <c r="F433" s="3">
        <v>37</v>
      </c>
      <c r="G433" s="3">
        <v>6.23</v>
      </c>
      <c r="H433" s="3">
        <v>0.05</v>
      </c>
      <c r="I433" s="3">
        <v>0.76</v>
      </c>
      <c r="J433" s="3">
        <v>4.24</v>
      </c>
      <c r="K433" s="3">
        <v>2</v>
      </c>
      <c r="L433" s="3">
        <v>28.34</v>
      </c>
      <c r="M433" s="4" t="str">
        <f t="shared" si="1"/>
        <v>High</v>
      </c>
    </row>
    <row r="434" spans="1:13" ht="14.25" customHeight="1" x14ac:dyDescent="0.3">
      <c r="A434" s="3" t="s">
        <v>52</v>
      </c>
      <c r="B434" s="3" t="s">
        <v>49</v>
      </c>
      <c r="C434" s="3" t="s">
        <v>33</v>
      </c>
      <c r="D434" s="3" t="s">
        <v>17</v>
      </c>
      <c r="E434" s="3" t="s">
        <v>26</v>
      </c>
      <c r="F434" s="3">
        <v>47</v>
      </c>
      <c r="G434" s="3">
        <v>5.34</v>
      </c>
      <c r="H434" s="3">
        <v>0.04</v>
      </c>
      <c r="I434" s="3">
        <v>0.75</v>
      </c>
      <c r="J434" s="3">
        <v>4.01</v>
      </c>
      <c r="K434" s="3">
        <v>0</v>
      </c>
      <c r="L434" s="3">
        <v>23.01</v>
      </c>
      <c r="M434" s="4" t="str">
        <f t="shared" si="1"/>
        <v>Low</v>
      </c>
    </row>
    <row r="435" spans="1:13" ht="14.25" customHeight="1" x14ac:dyDescent="0.3">
      <c r="A435" s="3" t="s">
        <v>52</v>
      </c>
      <c r="B435" s="3" t="s">
        <v>49</v>
      </c>
      <c r="C435" s="3" t="s">
        <v>33</v>
      </c>
      <c r="D435" s="3" t="s">
        <v>19</v>
      </c>
      <c r="E435" s="3" t="s">
        <v>18</v>
      </c>
      <c r="F435" s="3">
        <v>35</v>
      </c>
      <c r="G435" s="3">
        <v>5.5</v>
      </c>
      <c r="H435" s="3">
        <v>0.06</v>
      </c>
      <c r="I435" s="3">
        <v>0.86</v>
      </c>
      <c r="J435" s="3">
        <v>4.03</v>
      </c>
      <c r="K435" s="3">
        <v>0</v>
      </c>
      <c r="L435" s="3">
        <v>23.25</v>
      </c>
      <c r="M435" s="4" t="str">
        <f t="shared" si="1"/>
        <v>Low</v>
      </c>
    </row>
    <row r="436" spans="1:13" ht="14.25" customHeight="1" x14ac:dyDescent="0.3">
      <c r="A436" s="3" t="s">
        <v>52</v>
      </c>
      <c r="B436" s="3" t="s">
        <v>49</v>
      </c>
      <c r="C436" s="3" t="s">
        <v>33</v>
      </c>
      <c r="D436" s="3" t="s">
        <v>21</v>
      </c>
      <c r="E436" s="3" t="s">
        <v>26</v>
      </c>
      <c r="F436" s="3">
        <v>79</v>
      </c>
      <c r="G436" s="3">
        <v>7.81</v>
      </c>
      <c r="H436" s="3">
        <v>0.06</v>
      </c>
      <c r="I436" s="3">
        <v>0.61</v>
      </c>
      <c r="J436" s="3">
        <v>3.99</v>
      </c>
      <c r="K436" s="3">
        <v>2</v>
      </c>
      <c r="L436" s="3">
        <v>30.72</v>
      </c>
      <c r="M436" s="4" t="str">
        <f t="shared" si="1"/>
        <v>High</v>
      </c>
    </row>
    <row r="437" spans="1:13" ht="14.25" customHeight="1" x14ac:dyDescent="0.3">
      <c r="A437" s="3" t="s">
        <v>52</v>
      </c>
      <c r="B437" s="3" t="s">
        <v>50</v>
      </c>
      <c r="C437" s="3" t="s">
        <v>16</v>
      </c>
      <c r="D437" s="3" t="s">
        <v>17</v>
      </c>
      <c r="E437" s="3" t="s">
        <v>18</v>
      </c>
      <c r="F437" s="3">
        <v>36</v>
      </c>
      <c r="G437" s="3">
        <v>5.34</v>
      </c>
      <c r="H437" s="3">
        <v>0.1</v>
      </c>
      <c r="I437" s="3">
        <v>0.78</v>
      </c>
      <c r="J437" s="3">
        <v>4.04</v>
      </c>
      <c r="K437" s="3">
        <v>1</v>
      </c>
      <c r="L437" s="3">
        <v>25.01</v>
      </c>
      <c r="M437" s="4" t="str">
        <f t="shared" si="1"/>
        <v>Low</v>
      </c>
    </row>
    <row r="438" spans="1:13" ht="14.25" customHeight="1" x14ac:dyDescent="0.3">
      <c r="A438" s="3" t="s">
        <v>52</v>
      </c>
      <c r="B438" s="3" t="s">
        <v>50</v>
      </c>
      <c r="C438" s="3" t="s">
        <v>16</v>
      </c>
      <c r="D438" s="3" t="s">
        <v>19</v>
      </c>
      <c r="E438" s="3" t="s">
        <v>22</v>
      </c>
      <c r="F438" s="3">
        <v>58</v>
      </c>
      <c r="G438" s="3">
        <v>6.42</v>
      </c>
      <c r="H438" s="3">
        <v>0.28000000000000003</v>
      </c>
      <c r="I438" s="3">
        <v>0.75</v>
      </c>
      <c r="J438" s="3">
        <v>4.09</v>
      </c>
      <c r="K438" s="3">
        <v>3</v>
      </c>
      <c r="L438" s="3">
        <v>30.63</v>
      </c>
      <c r="M438" s="4" t="str">
        <f t="shared" si="1"/>
        <v>High</v>
      </c>
    </row>
    <row r="439" spans="1:13" ht="14.25" customHeight="1" x14ac:dyDescent="0.3">
      <c r="A439" s="3" t="s">
        <v>52</v>
      </c>
      <c r="B439" s="3" t="s">
        <v>50</v>
      </c>
      <c r="C439" s="3" t="s">
        <v>16</v>
      </c>
      <c r="D439" s="3" t="s">
        <v>21</v>
      </c>
      <c r="E439" s="3" t="s">
        <v>22</v>
      </c>
      <c r="F439" s="3">
        <v>34</v>
      </c>
      <c r="G439" s="3">
        <v>5.83</v>
      </c>
      <c r="H439" s="3">
        <v>0.28999999999999998</v>
      </c>
      <c r="I439" s="3">
        <v>0.74</v>
      </c>
      <c r="J439" s="3">
        <v>3.75</v>
      </c>
      <c r="K439" s="3">
        <v>0</v>
      </c>
      <c r="L439" s="3">
        <v>23.74</v>
      </c>
      <c r="M439" s="4" t="str">
        <f t="shared" si="1"/>
        <v>Low</v>
      </c>
    </row>
    <row r="440" spans="1:13" ht="14.25" customHeight="1" x14ac:dyDescent="0.3">
      <c r="A440" s="3" t="s">
        <v>52</v>
      </c>
      <c r="B440" s="3" t="s">
        <v>50</v>
      </c>
      <c r="C440" s="3" t="s">
        <v>24</v>
      </c>
      <c r="D440" s="3" t="s">
        <v>17</v>
      </c>
      <c r="E440" s="3" t="s">
        <v>22</v>
      </c>
      <c r="F440" s="3">
        <v>78</v>
      </c>
      <c r="G440" s="3">
        <v>4.5</v>
      </c>
      <c r="H440" s="3">
        <v>0.1</v>
      </c>
      <c r="I440" s="3">
        <v>0.82</v>
      </c>
      <c r="J440" s="3">
        <v>3.85</v>
      </c>
      <c r="K440" s="3">
        <v>0</v>
      </c>
      <c r="L440" s="3">
        <v>21.75</v>
      </c>
      <c r="M440" s="4" t="str">
        <f t="shared" si="1"/>
        <v>Low</v>
      </c>
    </row>
    <row r="441" spans="1:13" ht="14.25" customHeight="1" x14ac:dyDescent="0.3">
      <c r="A441" s="3" t="s">
        <v>52</v>
      </c>
      <c r="B441" s="3" t="s">
        <v>50</v>
      </c>
      <c r="C441" s="3" t="s">
        <v>24</v>
      </c>
      <c r="D441" s="3" t="s">
        <v>19</v>
      </c>
      <c r="E441" s="3" t="s">
        <v>18</v>
      </c>
      <c r="F441" s="3">
        <v>51</v>
      </c>
      <c r="G441" s="3">
        <v>5.35</v>
      </c>
      <c r="H441" s="3">
        <v>0.04</v>
      </c>
      <c r="I441" s="3">
        <v>0.84</v>
      </c>
      <c r="J441" s="3">
        <v>3.72</v>
      </c>
      <c r="K441" s="3">
        <v>2</v>
      </c>
      <c r="L441" s="3">
        <v>27.02</v>
      </c>
      <c r="M441" s="4" t="str">
        <f t="shared" si="1"/>
        <v>Low</v>
      </c>
    </row>
    <row r="442" spans="1:13" ht="14.25" customHeight="1" x14ac:dyDescent="0.3">
      <c r="A442" s="3" t="s">
        <v>52</v>
      </c>
      <c r="B442" s="3" t="s">
        <v>50</v>
      </c>
      <c r="C442" s="3" t="s">
        <v>24</v>
      </c>
      <c r="D442" s="3" t="s">
        <v>21</v>
      </c>
      <c r="E442" s="3" t="s">
        <v>22</v>
      </c>
      <c r="F442" s="3">
        <v>70</v>
      </c>
      <c r="G442" s="3">
        <v>6.2</v>
      </c>
      <c r="H442" s="3">
        <v>0.21</v>
      </c>
      <c r="I442" s="3">
        <v>0.76</v>
      </c>
      <c r="J442" s="3">
        <v>3.85</v>
      </c>
      <c r="K442" s="3">
        <v>0</v>
      </c>
      <c r="L442" s="3">
        <v>24.3</v>
      </c>
      <c r="M442" s="4" t="str">
        <f t="shared" si="1"/>
        <v>Low</v>
      </c>
    </row>
    <row r="443" spans="1:13" ht="14.25" customHeight="1" x14ac:dyDescent="0.3">
      <c r="A443" s="3" t="s">
        <v>52</v>
      </c>
      <c r="B443" s="3" t="s">
        <v>50</v>
      </c>
      <c r="C443" s="3" t="s">
        <v>29</v>
      </c>
      <c r="D443" s="3" t="s">
        <v>17</v>
      </c>
      <c r="E443" s="3" t="s">
        <v>26</v>
      </c>
      <c r="F443" s="3">
        <v>44</v>
      </c>
      <c r="G443" s="3">
        <v>5.19</v>
      </c>
      <c r="H443" s="3">
        <v>0.09</v>
      </c>
      <c r="I443" s="3">
        <v>0.82</v>
      </c>
      <c r="J443" s="3">
        <v>4.37</v>
      </c>
      <c r="K443" s="3">
        <v>0</v>
      </c>
      <c r="L443" s="3">
        <v>22.78</v>
      </c>
      <c r="M443" s="4" t="str">
        <f t="shared" si="1"/>
        <v>Low</v>
      </c>
    </row>
    <row r="444" spans="1:13" ht="14.25" customHeight="1" x14ac:dyDescent="0.3">
      <c r="A444" s="3" t="s">
        <v>52</v>
      </c>
      <c r="B444" s="3" t="s">
        <v>50</v>
      </c>
      <c r="C444" s="3" t="s">
        <v>29</v>
      </c>
      <c r="D444" s="3" t="s">
        <v>19</v>
      </c>
      <c r="E444" s="3" t="s">
        <v>18</v>
      </c>
      <c r="F444" s="3">
        <v>31</v>
      </c>
      <c r="G444" s="3">
        <v>5.79</v>
      </c>
      <c r="H444" s="3">
        <v>0.1</v>
      </c>
      <c r="I444" s="3">
        <v>0.86</v>
      </c>
      <c r="J444" s="3">
        <v>4.38</v>
      </c>
      <c r="K444" s="3">
        <v>0</v>
      </c>
      <c r="L444" s="3">
        <v>23.68</v>
      </c>
      <c r="M444" s="4" t="str">
        <f t="shared" si="1"/>
        <v>Low</v>
      </c>
    </row>
    <row r="445" spans="1:13" ht="14.25" customHeight="1" x14ac:dyDescent="0.3">
      <c r="A445" s="3" t="s">
        <v>52</v>
      </c>
      <c r="B445" s="3" t="s">
        <v>50</v>
      </c>
      <c r="C445" s="3" t="s">
        <v>29</v>
      </c>
      <c r="D445" s="3" t="s">
        <v>21</v>
      </c>
      <c r="E445" s="3" t="s">
        <v>22</v>
      </c>
      <c r="F445" s="3">
        <v>33</v>
      </c>
      <c r="G445" s="3">
        <v>6.28</v>
      </c>
      <c r="H445" s="3">
        <v>0.28000000000000003</v>
      </c>
      <c r="I445" s="3">
        <v>0.74</v>
      </c>
      <c r="J445" s="3">
        <v>4.72</v>
      </c>
      <c r="K445" s="3">
        <v>0</v>
      </c>
      <c r="L445" s="3">
        <v>24.42</v>
      </c>
      <c r="M445" s="4" t="str">
        <f t="shared" si="1"/>
        <v>Low</v>
      </c>
    </row>
    <row r="446" spans="1:13" ht="14.25" customHeight="1" x14ac:dyDescent="0.3">
      <c r="A446" s="3" t="s">
        <v>52</v>
      </c>
      <c r="B446" s="3" t="s">
        <v>50</v>
      </c>
      <c r="C446" s="3" t="s">
        <v>32</v>
      </c>
      <c r="D446" s="3" t="s">
        <v>17</v>
      </c>
      <c r="E446" s="3" t="s">
        <v>26</v>
      </c>
      <c r="F446" s="3">
        <v>75</v>
      </c>
      <c r="G446" s="3">
        <v>6.56</v>
      </c>
      <c r="H446" s="3">
        <v>0.15</v>
      </c>
      <c r="I446" s="3">
        <v>0.77</v>
      </c>
      <c r="J446" s="3">
        <v>3.51</v>
      </c>
      <c r="K446" s="3">
        <v>0</v>
      </c>
      <c r="L446" s="3">
        <v>24.84</v>
      </c>
      <c r="M446" s="4" t="str">
        <f t="shared" si="1"/>
        <v>Low</v>
      </c>
    </row>
    <row r="447" spans="1:13" ht="14.25" customHeight="1" x14ac:dyDescent="0.3">
      <c r="A447" s="3" t="s">
        <v>52</v>
      </c>
      <c r="B447" s="3" t="s">
        <v>50</v>
      </c>
      <c r="C447" s="3" t="s">
        <v>32</v>
      </c>
      <c r="D447" s="3" t="s">
        <v>19</v>
      </c>
      <c r="E447" s="3" t="s">
        <v>22</v>
      </c>
      <c r="F447" s="3">
        <v>50</v>
      </c>
      <c r="G447" s="3">
        <v>4.9800000000000004</v>
      </c>
      <c r="H447" s="3">
        <v>0.28000000000000003</v>
      </c>
      <c r="I447" s="3">
        <v>0.82</v>
      </c>
      <c r="J447" s="3">
        <v>3.84</v>
      </c>
      <c r="K447" s="3">
        <v>0</v>
      </c>
      <c r="L447" s="3">
        <v>22.47</v>
      </c>
      <c r="M447" s="4" t="str">
        <f t="shared" si="1"/>
        <v>Low</v>
      </c>
    </row>
    <row r="448" spans="1:13" ht="14.25" customHeight="1" x14ac:dyDescent="0.3">
      <c r="A448" s="3" t="s">
        <v>52</v>
      </c>
      <c r="B448" s="3" t="s">
        <v>50</v>
      </c>
      <c r="C448" s="3" t="s">
        <v>32</v>
      </c>
      <c r="D448" s="3" t="s">
        <v>21</v>
      </c>
      <c r="E448" s="3" t="s">
        <v>26</v>
      </c>
      <c r="F448" s="3">
        <v>55</v>
      </c>
      <c r="G448" s="3">
        <v>7.97</v>
      </c>
      <c r="H448" s="3">
        <v>0.11</v>
      </c>
      <c r="I448" s="3">
        <v>0.65</v>
      </c>
      <c r="J448" s="3">
        <v>4.3499999999999996</v>
      </c>
      <c r="K448" s="3">
        <v>2</v>
      </c>
      <c r="L448" s="3">
        <v>30.96</v>
      </c>
      <c r="M448" s="4" t="str">
        <f t="shared" si="1"/>
        <v>High</v>
      </c>
    </row>
    <row r="449" spans="1:13" ht="14.25" customHeight="1" x14ac:dyDescent="0.3">
      <c r="A449" s="3" t="s">
        <v>52</v>
      </c>
      <c r="B449" s="3" t="s">
        <v>50</v>
      </c>
      <c r="C449" s="3" t="s">
        <v>33</v>
      </c>
      <c r="D449" s="3" t="s">
        <v>17</v>
      </c>
      <c r="E449" s="3" t="s">
        <v>22</v>
      </c>
      <c r="F449" s="3">
        <v>76</v>
      </c>
      <c r="G449" s="3">
        <v>6.54</v>
      </c>
      <c r="H449" s="3">
        <v>0.06</v>
      </c>
      <c r="I449" s="3">
        <v>0.8</v>
      </c>
      <c r="J449" s="3">
        <v>3.52</v>
      </c>
      <c r="K449" s="3">
        <v>0</v>
      </c>
      <c r="L449" s="3">
        <v>24.81</v>
      </c>
      <c r="M449" s="4" t="str">
        <f t="shared" si="1"/>
        <v>Low</v>
      </c>
    </row>
    <row r="450" spans="1:13" ht="14.25" customHeight="1" x14ac:dyDescent="0.3">
      <c r="A450" s="3" t="s">
        <v>52</v>
      </c>
      <c r="B450" s="3" t="s">
        <v>50</v>
      </c>
      <c r="C450" s="3" t="s">
        <v>33</v>
      </c>
      <c r="D450" s="3" t="s">
        <v>19</v>
      </c>
      <c r="E450" s="3" t="s">
        <v>26</v>
      </c>
      <c r="F450" s="3">
        <v>40</v>
      </c>
      <c r="G450" s="3">
        <v>7.71</v>
      </c>
      <c r="H450" s="3">
        <v>0.1</v>
      </c>
      <c r="I450" s="3">
        <v>0.85</v>
      </c>
      <c r="J450" s="3">
        <v>3.61</v>
      </c>
      <c r="K450" s="3">
        <v>3</v>
      </c>
      <c r="L450" s="3">
        <v>32.56</v>
      </c>
      <c r="M450" s="4" t="str">
        <f t="shared" si="1"/>
        <v>High</v>
      </c>
    </row>
    <row r="451" spans="1:13" ht="14.25" customHeight="1" x14ac:dyDescent="0.3">
      <c r="A451" s="3" t="s">
        <v>52</v>
      </c>
      <c r="B451" s="3" t="s">
        <v>50</v>
      </c>
      <c r="C451" s="3" t="s">
        <v>33</v>
      </c>
      <c r="D451" s="3" t="s">
        <v>21</v>
      </c>
      <c r="E451" s="3" t="s">
        <v>26</v>
      </c>
      <c r="F451" s="3">
        <v>67</v>
      </c>
      <c r="G451" s="3">
        <v>5.7</v>
      </c>
      <c r="H451" s="3">
        <v>7.0000000000000007E-2</v>
      </c>
      <c r="I451" s="3">
        <v>0.72</v>
      </c>
      <c r="J451" s="3">
        <v>3.87</v>
      </c>
      <c r="K451" s="3">
        <v>1</v>
      </c>
      <c r="L451" s="3">
        <v>25.55</v>
      </c>
      <c r="M451" s="4" t="str">
        <f t="shared" si="1"/>
        <v>Low</v>
      </c>
    </row>
    <row r="452" spans="1:13" ht="14.25" customHeight="1" x14ac:dyDescent="0.3">
      <c r="M452" s="4"/>
    </row>
    <row r="453" spans="1:13" ht="14.25" customHeight="1" x14ac:dyDescent="0.3">
      <c r="M453" s="4"/>
    </row>
    <row r="454" spans="1:13" ht="14.25" customHeight="1" x14ac:dyDescent="0.3">
      <c r="M454" s="4"/>
    </row>
    <row r="455" spans="1:13" ht="14.25" customHeight="1" x14ac:dyDescent="0.3">
      <c r="M455" s="4"/>
    </row>
    <row r="456" spans="1:13" ht="14.25" customHeight="1" x14ac:dyDescent="0.3">
      <c r="M456" s="4"/>
    </row>
    <row r="457" spans="1:13" ht="14.25" customHeight="1" x14ac:dyDescent="0.3">
      <c r="M457" s="4"/>
    </row>
    <row r="458" spans="1:13" ht="14.25" customHeight="1" x14ac:dyDescent="0.3">
      <c r="M458" s="4"/>
    </row>
    <row r="459" spans="1:13" ht="14.25" customHeight="1" x14ac:dyDescent="0.3">
      <c r="M459" s="4"/>
    </row>
    <row r="460" spans="1:13" ht="14.25" customHeight="1" x14ac:dyDescent="0.3">
      <c r="M460" s="4"/>
    </row>
    <row r="461" spans="1:13" ht="14.25" customHeight="1" x14ac:dyDescent="0.3">
      <c r="M461" s="4"/>
    </row>
    <row r="462" spans="1:13" ht="14.25" customHeight="1" x14ac:dyDescent="0.3">
      <c r="M462" s="4"/>
    </row>
    <row r="463" spans="1:13" ht="14.25" customHeight="1" x14ac:dyDescent="0.3">
      <c r="M463" s="4"/>
    </row>
    <row r="464" spans="1:13" ht="14.25" customHeight="1" x14ac:dyDescent="0.3">
      <c r="M464" s="4"/>
    </row>
    <row r="465" spans="13:13" ht="14.25" customHeight="1" x14ac:dyDescent="0.3">
      <c r="M465" s="4"/>
    </row>
    <row r="466" spans="13:13" ht="14.25" customHeight="1" x14ac:dyDescent="0.3">
      <c r="M466" s="4"/>
    </row>
    <row r="467" spans="13:13" ht="14.25" customHeight="1" x14ac:dyDescent="0.3">
      <c r="M467" s="4"/>
    </row>
    <row r="468" spans="13:13" ht="14.25" customHeight="1" x14ac:dyDescent="0.3">
      <c r="M468" s="4"/>
    </row>
    <row r="469" spans="13:13" ht="14.25" customHeight="1" x14ac:dyDescent="0.3">
      <c r="M469" s="4"/>
    </row>
    <row r="470" spans="13:13" ht="14.25" customHeight="1" x14ac:dyDescent="0.3">
      <c r="M470" s="4"/>
    </row>
    <row r="471" spans="13:13" ht="14.25" customHeight="1" x14ac:dyDescent="0.3">
      <c r="M471" s="4"/>
    </row>
    <row r="472" spans="13:13" ht="14.25" customHeight="1" x14ac:dyDescent="0.3">
      <c r="M472" s="4"/>
    </row>
    <row r="473" spans="13:13" ht="14.25" customHeight="1" x14ac:dyDescent="0.3">
      <c r="M473" s="4"/>
    </row>
    <row r="474" spans="13:13" ht="14.25" customHeight="1" x14ac:dyDescent="0.3">
      <c r="M474" s="4"/>
    </row>
    <row r="475" spans="13:13" ht="14.25" customHeight="1" x14ac:dyDescent="0.3">
      <c r="M475" s="4"/>
    </row>
    <row r="476" spans="13:13" ht="14.25" customHeight="1" x14ac:dyDescent="0.3">
      <c r="M476" s="4"/>
    </row>
    <row r="477" spans="13:13" ht="14.25" customHeight="1" x14ac:dyDescent="0.3">
      <c r="M477" s="4"/>
    </row>
    <row r="478" spans="13:13" ht="14.25" customHeight="1" x14ac:dyDescent="0.3">
      <c r="M478" s="4"/>
    </row>
    <row r="479" spans="13:13" ht="14.25" customHeight="1" x14ac:dyDescent="0.3">
      <c r="M479" s="4"/>
    </row>
    <row r="480" spans="13:13" ht="14.25" customHeight="1" x14ac:dyDescent="0.3">
      <c r="M480" s="4"/>
    </row>
    <row r="481" spans="13:13" ht="14.25" customHeight="1" x14ac:dyDescent="0.3">
      <c r="M481" s="4"/>
    </row>
    <row r="482" spans="13:13" ht="14.25" customHeight="1" x14ac:dyDescent="0.3">
      <c r="M482" s="4"/>
    </row>
    <row r="483" spans="13:13" ht="14.25" customHeight="1" x14ac:dyDescent="0.3">
      <c r="M483" s="4"/>
    </row>
    <row r="484" spans="13:13" ht="14.25" customHeight="1" x14ac:dyDescent="0.3">
      <c r="M484" s="4"/>
    </row>
    <row r="485" spans="13:13" ht="14.25" customHeight="1" x14ac:dyDescent="0.3">
      <c r="M485" s="4"/>
    </row>
    <row r="486" spans="13:13" ht="14.25" customHeight="1" x14ac:dyDescent="0.3">
      <c r="M486" s="4"/>
    </row>
    <row r="487" spans="13:13" ht="14.25" customHeight="1" x14ac:dyDescent="0.3">
      <c r="M487" s="4"/>
    </row>
    <row r="488" spans="13:13" ht="14.25" customHeight="1" x14ac:dyDescent="0.3">
      <c r="M488" s="4"/>
    </row>
    <row r="489" spans="13:13" ht="14.25" customHeight="1" x14ac:dyDescent="0.3">
      <c r="M489" s="4"/>
    </row>
    <row r="490" spans="13:13" ht="14.25" customHeight="1" x14ac:dyDescent="0.3">
      <c r="M490" s="4"/>
    </row>
    <row r="491" spans="13:13" ht="14.25" customHeight="1" x14ac:dyDescent="0.3">
      <c r="M491" s="4"/>
    </row>
    <row r="492" spans="13:13" ht="14.25" customHeight="1" x14ac:dyDescent="0.3">
      <c r="M492" s="4"/>
    </row>
    <row r="493" spans="13:13" ht="14.25" customHeight="1" x14ac:dyDescent="0.3">
      <c r="M493" s="4"/>
    </row>
    <row r="494" spans="13:13" ht="14.25" customHeight="1" x14ac:dyDescent="0.3">
      <c r="M494" s="4"/>
    </row>
    <row r="495" spans="13:13" ht="14.25" customHeight="1" x14ac:dyDescent="0.3">
      <c r="M495" s="4"/>
    </row>
    <row r="496" spans="13:13" ht="14.25" customHeight="1" x14ac:dyDescent="0.3">
      <c r="M496" s="4"/>
    </row>
    <row r="497" spans="13:13" ht="14.25" customHeight="1" x14ac:dyDescent="0.3">
      <c r="M497" s="4"/>
    </row>
    <row r="498" spans="13:13" ht="14.25" customHeight="1" x14ac:dyDescent="0.3">
      <c r="M498" s="4"/>
    </row>
    <row r="499" spans="13:13" ht="14.25" customHeight="1" x14ac:dyDescent="0.3">
      <c r="M499" s="4"/>
    </row>
    <row r="500" spans="13:13" ht="14.25" customHeight="1" x14ac:dyDescent="0.3">
      <c r="M500" s="4"/>
    </row>
    <row r="501" spans="13:13" ht="14.25" customHeight="1" x14ac:dyDescent="0.3">
      <c r="M501" s="4"/>
    </row>
    <row r="502" spans="13:13" ht="14.25" customHeight="1" x14ac:dyDescent="0.3">
      <c r="M502" s="4"/>
    </row>
    <row r="503" spans="13:13" ht="14.25" customHeight="1" x14ac:dyDescent="0.3">
      <c r="M503" s="4"/>
    </row>
    <row r="504" spans="13:13" ht="14.25" customHeight="1" x14ac:dyDescent="0.3">
      <c r="M504" s="4"/>
    </row>
    <row r="505" spans="13:13" ht="14.25" customHeight="1" x14ac:dyDescent="0.3">
      <c r="M505" s="4"/>
    </row>
    <row r="506" spans="13:13" ht="14.25" customHeight="1" x14ac:dyDescent="0.3">
      <c r="M506" s="4"/>
    </row>
    <row r="507" spans="13:13" ht="14.25" customHeight="1" x14ac:dyDescent="0.3">
      <c r="M507" s="4"/>
    </row>
    <row r="508" spans="13:13" ht="14.25" customHeight="1" x14ac:dyDescent="0.3">
      <c r="M508" s="4"/>
    </row>
    <row r="509" spans="13:13" ht="14.25" customHeight="1" x14ac:dyDescent="0.3">
      <c r="M509" s="4"/>
    </row>
    <row r="510" spans="13:13" ht="14.25" customHeight="1" x14ac:dyDescent="0.3">
      <c r="M510" s="4"/>
    </row>
    <row r="511" spans="13:13" ht="14.25" customHeight="1" x14ac:dyDescent="0.3">
      <c r="M511" s="4"/>
    </row>
    <row r="512" spans="13:13" ht="14.25" customHeight="1" x14ac:dyDescent="0.3">
      <c r="M512" s="4"/>
    </row>
    <row r="513" spans="13:13" ht="14.25" customHeight="1" x14ac:dyDescent="0.3">
      <c r="M513" s="4"/>
    </row>
    <row r="514" spans="13:13" ht="14.25" customHeight="1" x14ac:dyDescent="0.3">
      <c r="M514" s="4"/>
    </row>
    <row r="515" spans="13:13" ht="14.25" customHeight="1" x14ac:dyDescent="0.3">
      <c r="M515" s="4"/>
    </row>
    <row r="516" spans="13:13" ht="14.25" customHeight="1" x14ac:dyDescent="0.3">
      <c r="M516" s="4"/>
    </row>
    <row r="517" spans="13:13" ht="14.25" customHeight="1" x14ac:dyDescent="0.3">
      <c r="M517" s="4"/>
    </row>
    <row r="518" spans="13:13" ht="14.25" customHeight="1" x14ac:dyDescent="0.3">
      <c r="M518" s="4"/>
    </row>
    <row r="519" spans="13:13" ht="14.25" customHeight="1" x14ac:dyDescent="0.3">
      <c r="M519" s="4"/>
    </row>
    <row r="520" spans="13:13" ht="14.25" customHeight="1" x14ac:dyDescent="0.3">
      <c r="M520" s="4"/>
    </row>
    <row r="521" spans="13:13" ht="14.25" customHeight="1" x14ac:dyDescent="0.3">
      <c r="M521" s="4"/>
    </row>
    <row r="522" spans="13:13" ht="14.25" customHeight="1" x14ac:dyDescent="0.3">
      <c r="M522" s="4"/>
    </row>
    <row r="523" spans="13:13" ht="14.25" customHeight="1" x14ac:dyDescent="0.3">
      <c r="M523" s="4"/>
    </row>
    <row r="524" spans="13:13" ht="14.25" customHeight="1" x14ac:dyDescent="0.3">
      <c r="M524" s="4"/>
    </row>
    <row r="525" spans="13:13" ht="14.25" customHeight="1" x14ac:dyDescent="0.3">
      <c r="M525" s="4"/>
    </row>
    <row r="526" spans="13:13" ht="14.25" customHeight="1" x14ac:dyDescent="0.3">
      <c r="M526" s="4"/>
    </row>
    <row r="527" spans="13:13" ht="14.25" customHeight="1" x14ac:dyDescent="0.3">
      <c r="M527" s="4"/>
    </row>
    <row r="528" spans="13:13" ht="14.25" customHeight="1" x14ac:dyDescent="0.3">
      <c r="M528" s="4"/>
    </row>
    <row r="529" spans="13:13" ht="14.25" customHeight="1" x14ac:dyDescent="0.3">
      <c r="M529" s="4"/>
    </row>
    <row r="530" spans="13:13" ht="14.25" customHeight="1" x14ac:dyDescent="0.3">
      <c r="M530" s="4"/>
    </row>
    <row r="531" spans="13:13" ht="14.25" customHeight="1" x14ac:dyDescent="0.3">
      <c r="M531" s="4"/>
    </row>
    <row r="532" spans="13:13" ht="14.25" customHeight="1" x14ac:dyDescent="0.3">
      <c r="M532" s="4"/>
    </row>
    <row r="533" spans="13:13" ht="14.25" customHeight="1" x14ac:dyDescent="0.3">
      <c r="M533" s="4"/>
    </row>
    <row r="534" spans="13:13" ht="14.25" customHeight="1" x14ac:dyDescent="0.3">
      <c r="M534" s="4"/>
    </row>
    <row r="535" spans="13:13" ht="14.25" customHeight="1" x14ac:dyDescent="0.3">
      <c r="M535" s="4"/>
    </row>
    <row r="536" spans="13:13" ht="14.25" customHeight="1" x14ac:dyDescent="0.3">
      <c r="M536" s="4"/>
    </row>
    <row r="537" spans="13:13" ht="14.25" customHeight="1" x14ac:dyDescent="0.3">
      <c r="M537" s="4"/>
    </row>
    <row r="538" spans="13:13" ht="14.25" customHeight="1" x14ac:dyDescent="0.3">
      <c r="M538" s="4"/>
    </row>
    <row r="539" spans="13:13" ht="14.25" customHeight="1" x14ac:dyDescent="0.3">
      <c r="M539" s="4"/>
    </row>
    <row r="540" spans="13:13" ht="14.25" customHeight="1" x14ac:dyDescent="0.3">
      <c r="M540" s="4"/>
    </row>
    <row r="541" spans="13:13" ht="14.25" customHeight="1" x14ac:dyDescent="0.3">
      <c r="M541" s="4"/>
    </row>
    <row r="542" spans="13:13" ht="14.25" customHeight="1" x14ac:dyDescent="0.3">
      <c r="M542" s="4"/>
    </row>
    <row r="543" spans="13:13" ht="14.25" customHeight="1" x14ac:dyDescent="0.3">
      <c r="M543" s="4"/>
    </row>
    <row r="544" spans="13:13" ht="14.25" customHeight="1" x14ac:dyDescent="0.3">
      <c r="M544" s="4"/>
    </row>
    <row r="545" spans="13:13" ht="14.25" customHeight="1" x14ac:dyDescent="0.3">
      <c r="M545" s="4"/>
    </row>
    <row r="546" spans="13:13" ht="14.25" customHeight="1" x14ac:dyDescent="0.3">
      <c r="M546" s="4"/>
    </row>
    <row r="547" spans="13:13" ht="14.25" customHeight="1" x14ac:dyDescent="0.3">
      <c r="M547" s="4"/>
    </row>
    <row r="548" spans="13:13" ht="14.25" customHeight="1" x14ac:dyDescent="0.3">
      <c r="M548" s="4"/>
    </row>
    <row r="549" spans="13:13" ht="14.25" customHeight="1" x14ac:dyDescent="0.3">
      <c r="M549" s="4"/>
    </row>
    <row r="550" spans="13:13" ht="14.25" customHeight="1" x14ac:dyDescent="0.3">
      <c r="M550" s="4"/>
    </row>
    <row r="551" spans="13:13" ht="14.25" customHeight="1" x14ac:dyDescent="0.3">
      <c r="M551" s="4"/>
    </row>
    <row r="552" spans="13:13" ht="14.25" customHeight="1" x14ac:dyDescent="0.3">
      <c r="M552" s="4"/>
    </row>
    <row r="553" spans="13:13" ht="14.25" customHeight="1" x14ac:dyDescent="0.3">
      <c r="M553" s="4"/>
    </row>
    <row r="554" spans="13:13" ht="14.25" customHeight="1" x14ac:dyDescent="0.3">
      <c r="M554" s="4"/>
    </row>
    <row r="555" spans="13:13" ht="14.25" customHeight="1" x14ac:dyDescent="0.3">
      <c r="M555" s="4"/>
    </row>
    <row r="556" spans="13:13" ht="14.25" customHeight="1" x14ac:dyDescent="0.3">
      <c r="M556" s="4"/>
    </row>
    <row r="557" spans="13:13" ht="14.25" customHeight="1" x14ac:dyDescent="0.3">
      <c r="M557" s="4"/>
    </row>
    <row r="558" spans="13:13" ht="14.25" customHeight="1" x14ac:dyDescent="0.3">
      <c r="M558" s="4"/>
    </row>
    <row r="559" spans="13:13" ht="14.25" customHeight="1" x14ac:dyDescent="0.3">
      <c r="M559" s="4"/>
    </row>
    <row r="560" spans="13:13" ht="14.25" customHeight="1" x14ac:dyDescent="0.3">
      <c r="M560" s="4"/>
    </row>
    <row r="561" spans="13:13" ht="14.25" customHeight="1" x14ac:dyDescent="0.3">
      <c r="M561" s="4"/>
    </row>
    <row r="562" spans="13:13" ht="14.25" customHeight="1" x14ac:dyDescent="0.3">
      <c r="M562" s="4"/>
    </row>
    <row r="563" spans="13:13" ht="14.25" customHeight="1" x14ac:dyDescent="0.3">
      <c r="M563" s="4"/>
    </row>
    <row r="564" spans="13:13" ht="14.25" customHeight="1" x14ac:dyDescent="0.3">
      <c r="M564" s="4"/>
    </row>
    <row r="565" spans="13:13" ht="14.25" customHeight="1" x14ac:dyDescent="0.3">
      <c r="M565" s="4"/>
    </row>
    <row r="566" spans="13:13" ht="14.25" customHeight="1" x14ac:dyDescent="0.3">
      <c r="M566" s="4"/>
    </row>
    <row r="567" spans="13:13" ht="14.25" customHeight="1" x14ac:dyDescent="0.3">
      <c r="M567" s="4"/>
    </row>
    <row r="568" spans="13:13" ht="14.25" customHeight="1" x14ac:dyDescent="0.3">
      <c r="M568" s="4"/>
    </row>
    <row r="569" spans="13:13" ht="14.25" customHeight="1" x14ac:dyDescent="0.3">
      <c r="M569" s="4"/>
    </row>
    <row r="570" spans="13:13" ht="14.25" customHeight="1" x14ac:dyDescent="0.3">
      <c r="M570" s="4"/>
    </row>
    <row r="571" spans="13:13" ht="14.25" customHeight="1" x14ac:dyDescent="0.3">
      <c r="M571" s="4"/>
    </row>
    <row r="572" spans="13:13" ht="14.25" customHeight="1" x14ac:dyDescent="0.3">
      <c r="M572" s="4"/>
    </row>
    <row r="573" spans="13:13" ht="14.25" customHeight="1" x14ac:dyDescent="0.3">
      <c r="M573" s="4"/>
    </row>
    <row r="574" spans="13:13" ht="14.25" customHeight="1" x14ac:dyDescent="0.3">
      <c r="M574" s="4"/>
    </row>
    <row r="575" spans="13:13" ht="14.25" customHeight="1" x14ac:dyDescent="0.3">
      <c r="M575" s="4"/>
    </row>
    <row r="576" spans="13:13" ht="14.25" customHeight="1" x14ac:dyDescent="0.3">
      <c r="M576" s="4"/>
    </row>
    <row r="577" spans="13:13" ht="14.25" customHeight="1" x14ac:dyDescent="0.3">
      <c r="M577" s="4"/>
    </row>
    <row r="578" spans="13:13" ht="14.25" customHeight="1" x14ac:dyDescent="0.3">
      <c r="M578" s="4"/>
    </row>
    <row r="579" spans="13:13" ht="14.25" customHeight="1" x14ac:dyDescent="0.3">
      <c r="M579" s="4"/>
    </row>
    <row r="580" spans="13:13" ht="14.25" customHeight="1" x14ac:dyDescent="0.3">
      <c r="M580" s="4"/>
    </row>
    <row r="581" spans="13:13" ht="14.25" customHeight="1" x14ac:dyDescent="0.3">
      <c r="M581" s="4"/>
    </row>
    <row r="582" spans="13:13" ht="14.25" customHeight="1" x14ac:dyDescent="0.3">
      <c r="M582" s="4"/>
    </row>
    <row r="583" spans="13:13" ht="14.25" customHeight="1" x14ac:dyDescent="0.3">
      <c r="M583" s="4"/>
    </row>
    <row r="584" spans="13:13" ht="14.25" customHeight="1" x14ac:dyDescent="0.3">
      <c r="M584" s="4"/>
    </row>
    <row r="585" spans="13:13" ht="14.25" customHeight="1" x14ac:dyDescent="0.3">
      <c r="M585" s="4"/>
    </row>
    <row r="586" spans="13:13" ht="14.25" customHeight="1" x14ac:dyDescent="0.3">
      <c r="M586" s="4"/>
    </row>
    <row r="587" spans="13:13" ht="14.25" customHeight="1" x14ac:dyDescent="0.3">
      <c r="M587" s="4"/>
    </row>
    <row r="588" spans="13:13" ht="14.25" customHeight="1" x14ac:dyDescent="0.3">
      <c r="M588" s="4"/>
    </row>
    <row r="589" spans="13:13" ht="14.25" customHeight="1" x14ac:dyDescent="0.3">
      <c r="M589" s="4"/>
    </row>
    <row r="590" spans="13:13" ht="14.25" customHeight="1" x14ac:dyDescent="0.3">
      <c r="M590" s="4"/>
    </row>
    <row r="591" spans="13:13" ht="14.25" customHeight="1" x14ac:dyDescent="0.3">
      <c r="M591" s="4"/>
    </row>
    <row r="592" spans="13:13" ht="14.25" customHeight="1" x14ac:dyDescent="0.3">
      <c r="M592" s="4"/>
    </row>
    <row r="593" spans="13:13" ht="14.25" customHeight="1" x14ac:dyDescent="0.3">
      <c r="M593" s="4"/>
    </row>
    <row r="594" spans="13:13" ht="14.25" customHeight="1" x14ac:dyDescent="0.3">
      <c r="M594" s="4"/>
    </row>
    <row r="595" spans="13:13" ht="14.25" customHeight="1" x14ac:dyDescent="0.3">
      <c r="M595" s="4"/>
    </row>
    <row r="596" spans="13:13" ht="14.25" customHeight="1" x14ac:dyDescent="0.3">
      <c r="M596" s="4"/>
    </row>
    <row r="597" spans="13:13" ht="14.25" customHeight="1" x14ac:dyDescent="0.3">
      <c r="M597" s="4"/>
    </row>
    <row r="598" spans="13:13" ht="14.25" customHeight="1" x14ac:dyDescent="0.3">
      <c r="M598" s="4"/>
    </row>
    <row r="599" spans="13:13" ht="14.25" customHeight="1" x14ac:dyDescent="0.3">
      <c r="M599" s="4"/>
    </row>
    <row r="600" spans="13:13" ht="14.25" customHeight="1" x14ac:dyDescent="0.3">
      <c r="M600" s="4"/>
    </row>
    <row r="601" spans="13:13" ht="14.25" customHeight="1" x14ac:dyDescent="0.3">
      <c r="M601" s="4"/>
    </row>
    <row r="602" spans="13:13" ht="14.25" customHeight="1" x14ac:dyDescent="0.3">
      <c r="M602" s="4"/>
    </row>
    <row r="603" spans="13:13" ht="14.25" customHeight="1" x14ac:dyDescent="0.3">
      <c r="M603" s="4"/>
    </row>
    <row r="604" spans="13:13" ht="14.25" customHeight="1" x14ac:dyDescent="0.3">
      <c r="M604" s="4"/>
    </row>
    <row r="605" spans="13:13" ht="14.25" customHeight="1" x14ac:dyDescent="0.3">
      <c r="M605" s="4"/>
    </row>
    <row r="606" spans="13:13" ht="14.25" customHeight="1" x14ac:dyDescent="0.3">
      <c r="M606" s="4"/>
    </row>
    <row r="607" spans="13:13" ht="14.25" customHeight="1" x14ac:dyDescent="0.3">
      <c r="M607" s="4"/>
    </row>
    <row r="608" spans="13:13" ht="14.25" customHeight="1" x14ac:dyDescent="0.3">
      <c r="M608" s="4"/>
    </row>
    <row r="609" spans="13:13" ht="14.25" customHeight="1" x14ac:dyDescent="0.3">
      <c r="M609" s="4"/>
    </row>
    <row r="610" spans="13:13" ht="14.25" customHeight="1" x14ac:dyDescent="0.3">
      <c r="M610" s="4"/>
    </row>
    <row r="611" spans="13:13" ht="14.25" customHeight="1" x14ac:dyDescent="0.3">
      <c r="M611" s="4"/>
    </row>
    <row r="612" spans="13:13" ht="14.25" customHeight="1" x14ac:dyDescent="0.3">
      <c r="M612" s="4"/>
    </row>
    <row r="613" spans="13:13" ht="14.25" customHeight="1" x14ac:dyDescent="0.3">
      <c r="M613" s="4"/>
    </row>
    <row r="614" spans="13:13" ht="14.25" customHeight="1" x14ac:dyDescent="0.3">
      <c r="M614" s="4"/>
    </row>
    <row r="615" spans="13:13" ht="14.25" customHeight="1" x14ac:dyDescent="0.3">
      <c r="M615" s="4"/>
    </row>
    <row r="616" spans="13:13" ht="14.25" customHeight="1" x14ac:dyDescent="0.3">
      <c r="M616" s="4"/>
    </row>
    <row r="617" spans="13:13" ht="14.25" customHeight="1" x14ac:dyDescent="0.3">
      <c r="M617" s="4"/>
    </row>
    <row r="618" spans="13:13" ht="14.25" customHeight="1" x14ac:dyDescent="0.3">
      <c r="M618" s="4"/>
    </row>
    <row r="619" spans="13:13" ht="14.25" customHeight="1" x14ac:dyDescent="0.3">
      <c r="M619" s="4"/>
    </row>
    <row r="620" spans="13:13" ht="14.25" customHeight="1" x14ac:dyDescent="0.3">
      <c r="M620" s="4"/>
    </row>
    <row r="621" spans="13:13" ht="14.25" customHeight="1" x14ac:dyDescent="0.3">
      <c r="M621" s="4"/>
    </row>
    <row r="622" spans="13:13" ht="14.25" customHeight="1" x14ac:dyDescent="0.3">
      <c r="M622" s="4"/>
    </row>
    <row r="623" spans="13:13" ht="14.25" customHeight="1" x14ac:dyDescent="0.3">
      <c r="M623" s="4"/>
    </row>
    <row r="624" spans="13:13" ht="14.25" customHeight="1" x14ac:dyDescent="0.3">
      <c r="M624" s="4"/>
    </row>
    <row r="625" spans="13:13" ht="14.25" customHeight="1" x14ac:dyDescent="0.3">
      <c r="M625" s="4"/>
    </row>
    <row r="626" spans="13:13" ht="14.25" customHeight="1" x14ac:dyDescent="0.3">
      <c r="M626" s="4"/>
    </row>
    <row r="627" spans="13:13" ht="14.25" customHeight="1" x14ac:dyDescent="0.3">
      <c r="M627" s="4"/>
    </row>
    <row r="628" spans="13:13" ht="14.25" customHeight="1" x14ac:dyDescent="0.3">
      <c r="M628" s="4"/>
    </row>
    <row r="629" spans="13:13" ht="14.25" customHeight="1" x14ac:dyDescent="0.3">
      <c r="M629" s="4"/>
    </row>
    <row r="630" spans="13:13" ht="14.25" customHeight="1" x14ac:dyDescent="0.3">
      <c r="M630" s="4"/>
    </row>
    <row r="631" spans="13:13" ht="14.25" customHeight="1" x14ac:dyDescent="0.3">
      <c r="M631" s="4"/>
    </row>
    <row r="632" spans="13:13" ht="14.25" customHeight="1" x14ac:dyDescent="0.3">
      <c r="M632" s="4"/>
    </row>
    <row r="633" spans="13:13" ht="14.25" customHeight="1" x14ac:dyDescent="0.3">
      <c r="M633" s="4"/>
    </row>
    <row r="634" spans="13:13" ht="14.25" customHeight="1" x14ac:dyDescent="0.3">
      <c r="M634" s="4"/>
    </row>
    <row r="635" spans="13:13" ht="14.25" customHeight="1" x14ac:dyDescent="0.3">
      <c r="M635" s="4"/>
    </row>
    <row r="636" spans="13:13" ht="14.25" customHeight="1" x14ac:dyDescent="0.3">
      <c r="M636" s="4"/>
    </row>
    <row r="637" spans="13:13" ht="14.25" customHeight="1" x14ac:dyDescent="0.3">
      <c r="M637" s="4"/>
    </row>
    <row r="638" spans="13:13" ht="14.25" customHeight="1" x14ac:dyDescent="0.3">
      <c r="M638" s="4"/>
    </row>
    <row r="639" spans="13:13" ht="14.25" customHeight="1" x14ac:dyDescent="0.3">
      <c r="M639" s="4"/>
    </row>
    <row r="640" spans="13:13" ht="14.25" customHeight="1" x14ac:dyDescent="0.3">
      <c r="M640" s="4"/>
    </row>
    <row r="641" spans="13:13" ht="14.25" customHeight="1" x14ac:dyDescent="0.3">
      <c r="M641" s="4"/>
    </row>
    <row r="642" spans="13:13" ht="14.25" customHeight="1" x14ac:dyDescent="0.3">
      <c r="M642" s="4"/>
    </row>
    <row r="643" spans="13:13" ht="14.25" customHeight="1" x14ac:dyDescent="0.3">
      <c r="M643" s="4"/>
    </row>
    <row r="644" spans="13:13" ht="14.25" customHeight="1" x14ac:dyDescent="0.3">
      <c r="M644" s="4"/>
    </row>
    <row r="645" spans="13:13" ht="14.25" customHeight="1" x14ac:dyDescent="0.3">
      <c r="M645" s="4"/>
    </row>
    <row r="646" spans="13:13" ht="14.25" customHeight="1" x14ac:dyDescent="0.3">
      <c r="M646" s="4"/>
    </row>
    <row r="647" spans="13:13" ht="14.25" customHeight="1" x14ac:dyDescent="0.3">
      <c r="M647" s="4"/>
    </row>
    <row r="648" spans="13:13" ht="14.25" customHeight="1" x14ac:dyDescent="0.3">
      <c r="M648" s="4"/>
    </row>
    <row r="649" spans="13:13" ht="14.25" customHeight="1" x14ac:dyDescent="0.3">
      <c r="M649" s="4"/>
    </row>
    <row r="650" spans="13:13" ht="14.25" customHeight="1" x14ac:dyDescent="0.3">
      <c r="M650" s="4"/>
    </row>
    <row r="651" spans="13:13" ht="14.25" customHeight="1" x14ac:dyDescent="0.3">
      <c r="M651" s="4"/>
    </row>
    <row r="652" spans="13:13" ht="15.75" customHeight="1" x14ac:dyDescent="0.3"/>
    <row r="653" spans="13:13" ht="15.75" customHeight="1" x14ac:dyDescent="0.3"/>
    <row r="654" spans="13:13" ht="15.75" customHeight="1" x14ac:dyDescent="0.3"/>
    <row r="655" spans="13:13" ht="15.75" customHeight="1" x14ac:dyDescent="0.3"/>
    <row r="656" spans="13:13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M1:M1000">
    <cfRule type="colorScale" priority="1">
      <colorScale>
        <cfvo type="formula" val="24.26"/>
        <cfvo type="max"/>
        <color rgb="FFFF0000"/>
        <color rgb="FF00FF00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showGridLines="0" workbookViewId="0"/>
  </sheetViews>
  <sheetFormatPr defaultColWidth="14.44140625" defaultRowHeight="15" customHeight="1" x14ac:dyDescent="0.3"/>
  <cols>
    <col min="1" max="1" width="17.33203125" customWidth="1"/>
    <col min="2" max="2" width="21.6640625" customWidth="1"/>
    <col min="3" max="3" width="2.5546875" customWidth="1"/>
    <col min="4" max="4" width="25.33203125" customWidth="1"/>
    <col min="5" max="5" width="21" customWidth="1"/>
    <col min="6" max="6" width="2.5546875" customWidth="1"/>
    <col min="7" max="7" width="12" customWidth="1"/>
    <col min="9" max="9" width="21.5546875" customWidth="1"/>
    <col min="10" max="10" width="9.5546875" customWidth="1"/>
    <col min="11" max="11" width="14.44140625" customWidth="1"/>
    <col min="12" max="12" width="19.5546875" customWidth="1"/>
    <col min="15" max="15" width="23.5546875" customWidth="1"/>
  </cols>
  <sheetData>
    <row r="1" spans="1:15" ht="14.4" x14ac:dyDescent="0.3">
      <c r="A1" s="14" t="s">
        <v>10</v>
      </c>
      <c r="B1" s="15" t="s">
        <v>53</v>
      </c>
      <c r="D1" s="14" t="s">
        <v>6</v>
      </c>
      <c r="E1" s="15" t="s">
        <v>53</v>
      </c>
      <c r="G1" s="14" t="s">
        <v>0</v>
      </c>
      <c r="H1" s="14" t="s">
        <v>5</v>
      </c>
      <c r="I1" s="15" t="s">
        <v>53</v>
      </c>
      <c r="K1" s="8" t="s">
        <v>0</v>
      </c>
      <c r="L1" s="8" t="s">
        <v>54</v>
      </c>
      <c r="M1" s="14" t="s">
        <v>0</v>
      </c>
      <c r="N1" s="14" t="s">
        <v>7</v>
      </c>
      <c r="O1" s="15" t="s">
        <v>53</v>
      </c>
    </row>
    <row r="2" spans="1:15" ht="14.4" x14ac:dyDescent="0.3">
      <c r="A2" s="16">
        <v>0</v>
      </c>
      <c r="B2" s="17">
        <v>24.754944237918224</v>
      </c>
      <c r="D2" s="16" t="s">
        <v>75</v>
      </c>
      <c r="E2" s="17">
        <v>26.422836185819062</v>
      </c>
      <c r="G2" s="16" t="s">
        <v>14</v>
      </c>
      <c r="H2" s="16" t="s">
        <v>67</v>
      </c>
      <c r="I2" s="17">
        <v>25.031333333333333</v>
      </c>
      <c r="K2" s="3" t="s">
        <v>14</v>
      </c>
      <c r="L2" s="3">
        <v>25.41</v>
      </c>
      <c r="M2" s="16" t="s">
        <v>14</v>
      </c>
      <c r="N2" s="16">
        <v>0.02</v>
      </c>
      <c r="O2" s="17">
        <v>26.135000000000002</v>
      </c>
    </row>
    <row r="3" spans="1:15" ht="14.4" x14ac:dyDescent="0.3">
      <c r="A3" s="18">
        <v>1</v>
      </c>
      <c r="B3" s="19">
        <v>26.658681318681321</v>
      </c>
      <c r="D3" s="18" t="s">
        <v>76</v>
      </c>
      <c r="E3" s="19">
        <v>18.64</v>
      </c>
      <c r="G3" s="22"/>
      <c r="H3" s="18" t="s">
        <v>68</v>
      </c>
      <c r="I3" s="19">
        <v>25.698125000000001</v>
      </c>
      <c r="K3" s="3" t="s">
        <v>51</v>
      </c>
      <c r="L3" s="3">
        <v>27.57</v>
      </c>
      <c r="M3" s="22"/>
      <c r="N3" s="18">
        <v>0.03</v>
      </c>
      <c r="O3" s="19">
        <v>24.227999999999998</v>
      </c>
    </row>
    <row r="4" spans="1:15" ht="14.4" x14ac:dyDescent="0.3">
      <c r="A4" s="18">
        <v>2</v>
      </c>
      <c r="B4" s="19">
        <v>28.896197183098586</v>
      </c>
      <c r="D4" s="18" t="s">
        <v>77</v>
      </c>
      <c r="E4" s="19">
        <v>21.509999999999998</v>
      </c>
      <c r="G4" s="22"/>
      <c r="H4" s="18" t="s">
        <v>69</v>
      </c>
      <c r="I4" s="19">
        <v>25.094117647058823</v>
      </c>
      <c r="K4" s="3" t="s">
        <v>52</v>
      </c>
      <c r="L4" s="3">
        <v>25.24</v>
      </c>
      <c r="M4" s="22"/>
      <c r="N4" s="18">
        <v>0.04</v>
      </c>
      <c r="O4" s="19">
        <v>25.895000000000003</v>
      </c>
    </row>
    <row r="5" spans="1:15" ht="14.4" x14ac:dyDescent="0.3">
      <c r="A5" s="18">
        <v>3</v>
      </c>
      <c r="B5" s="19">
        <v>31.386842105263153</v>
      </c>
      <c r="D5" s="18" t="s">
        <v>78</v>
      </c>
      <c r="E5" s="19">
        <v>19.95</v>
      </c>
      <c r="G5" s="22"/>
      <c r="H5" s="18" t="s">
        <v>70</v>
      </c>
      <c r="I5" s="19">
        <v>25.408928571428572</v>
      </c>
      <c r="M5" s="22"/>
      <c r="N5" s="18">
        <v>0.05</v>
      </c>
      <c r="O5" s="19">
        <v>25.86</v>
      </c>
    </row>
    <row r="6" spans="1:15" ht="14.4" x14ac:dyDescent="0.3">
      <c r="A6" s="18" t="s">
        <v>72</v>
      </c>
      <c r="B6" s="19"/>
      <c r="D6" s="18" t="s">
        <v>79</v>
      </c>
      <c r="E6" s="19">
        <v>23.479444444444443</v>
      </c>
      <c r="G6" s="22"/>
      <c r="H6" s="18" t="s">
        <v>71</v>
      </c>
      <c r="I6" s="19">
        <v>25.928846153846148</v>
      </c>
      <c r="J6" s="8" t="s">
        <v>0</v>
      </c>
      <c r="K6" s="8" t="s">
        <v>7</v>
      </c>
      <c r="L6" s="8" t="s">
        <v>54</v>
      </c>
      <c r="M6" s="22"/>
      <c r="N6" s="18">
        <v>0.06</v>
      </c>
      <c r="O6" s="19">
        <v>24.356000000000002</v>
      </c>
    </row>
    <row r="7" spans="1:15" ht="14.4" x14ac:dyDescent="0.3">
      <c r="A7" s="20" t="s">
        <v>55</v>
      </c>
      <c r="B7" s="21">
        <v>26.073333333333348</v>
      </c>
      <c r="D7" s="18" t="s">
        <v>80</v>
      </c>
      <c r="E7" s="19">
        <v>22.326111111111114</v>
      </c>
      <c r="G7" s="16" t="s">
        <v>56</v>
      </c>
      <c r="H7" s="23"/>
      <c r="I7" s="17">
        <v>25.413866666666671</v>
      </c>
      <c r="J7" s="3" t="s">
        <v>14</v>
      </c>
      <c r="K7" s="5">
        <f>AVERAGE(N4:N30)*100</f>
        <v>16.038461538461533</v>
      </c>
      <c r="L7" s="3">
        <v>25.41</v>
      </c>
      <c r="M7" s="22"/>
      <c r="N7" s="18">
        <v>7.0000000000000007E-2</v>
      </c>
      <c r="O7" s="19">
        <v>25.502500000000001</v>
      </c>
    </row>
    <row r="8" spans="1:15" ht="14.4" x14ac:dyDescent="0.3">
      <c r="B8" s="5"/>
      <c r="D8" s="20" t="s">
        <v>55</v>
      </c>
      <c r="E8" s="21">
        <v>26.073333333333334</v>
      </c>
      <c r="G8" s="16" t="s">
        <v>51</v>
      </c>
      <c r="H8" s="16" t="s">
        <v>67</v>
      </c>
      <c r="I8" s="17">
        <v>27.791250000000002</v>
      </c>
      <c r="J8" s="3" t="s">
        <v>51</v>
      </c>
      <c r="K8" s="5">
        <f>AVERAGE(N32:N56)*100</f>
        <v>15.333333333333332</v>
      </c>
      <c r="L8" s="3">
        <v>27.57</v>
      </c>
      <c r="M8" s="22"/>
      <c r="N8" s="18">
        <v>0.08</v>
      </c>
      <c r="O8" s="19">
        <v>25.548333333333336</v>
      </c>
    </row>
    <row r="9" spans="1:15" ht="14.4" x14ac:dyDescent="0.3">
      <c r="A9" s="14" t="s">
        <v>9</v>
      </c>
      <c r="B9" s="15" t="s">
        <v>53</v>
      </c>
      <c r="E9" s="5"/>
      <c r="G9" s="22"/>
      <c r="H9" s="18" t="s">
        <v>68</v>
      </c>
      <c r="I9" s="19">
        <v>28.108965517241383</v>
      </c>
      <c r="J9" s="3" t="s">
        <v>52</v>
      </c>
      <c r="K9" s="5">
        <f>AVERAGE(N58:N83)*100</f>
        <v>16.166666666666664</v>
      </c>
      <c r="L9" s="3">
        <v>25.24</v>
      </c>
      <c r="M9" s="22"/>
      <c r="N9" s="18">
        <v>0.09</v>
      </c>
      <c r="O9" s="19">
        <v>24.823846153846151</v>
      </c>
    </row>
    <row r="10" spans="1:15" ht="14.4" x14ac:dyDescent="0.3">
      <c r="A10" s="16" t="s">
        <v>60</v>
      </c>
      <c r="B10" s="17">
        <v>26.393278688524578</v>
      </c>
      <c r="D10" s="14" t="s">
        <v>4</v>
      </c>
      <c r="E10" s="15" t="s">
        <v>53</v>
      </c>
      <c r="G10" s="22"/>
      <c r="H10" s="18" t="s">
        <v>69</v>
      </c>
      <c r="I10" s="19">
        <v>27.231562500000003</v>
      </c>
      <c r="M10" s="22"/>
      <c r="N10" s="18">
        <v>0.1</v>
      </c>
      <c r="O10" s="19">
        <v>23.818888888888893</v>
      </c>
    </row>
    <row r="11" spans="1:15" ht="14.4" x14ac:dyDescent="0.3">
      <c r="A11" s="18" t="s">
        <v>61</v>
      </c>
      <c r="B11" s="19">
        <v>26.267777777777784</v>
      </c>
      <c r="D11" s="16" t="s">
        <v>22</v>
      </c>
      <c r="E11" s="17">
        <v>26.275040650406503</v>
      </c>
      <c r="G11" s="22"/>
      <c r="H11" s="18" t="s">
        <v>70</v>
      </c>
      <c r="I11" s="19">
        <v>27.254230769230773</v>
      </c>
      <c r="M11" s="22"/>
      <c r="N11" s="18">
        <v>0.11</v>
      </c>
      <c r="O11" s="19">
        <v>25.73</v>
      </c>
    </row>
    <row r="12" spans="1:15" ht="14.4" x14ac:dyDescent="0.3">
      <c r="A12" s="18" t="s">
        <v>62</v>
      </c>
      <c r="B12" s="19">
        <v>26.11602564102564</v>
      </c>
      <c r="D12" s="18" t="s">
        <v>18</v>
      </c>
      <c r="E12" s="19">
        <v>25.968729281767967</v>
      </c>
      <c r="G12" s="22"/>
      <c r="H12" s="18" t="s">
        <v>71</v>
      </c>
      <c r="I12" s="19">
        <v>27.431290322580654</v>
      </c>
      <c r="M12" s="22"/>
      <c r="N12" s="18">
        <v>0.12</v>
      </c>
      <c r="O12" s="19">
        <v>25.354999999999997</v>
      </c>
    </row>
    <row r="13" spans="1:15" ht="14.4" x14ac:dyDescent="0.3">
      <c r="A13" s="18" t="s">
        <v>63</v>
      </c>
      <c r="B13" s="19">
        <v>25.828554216867463</v>
      </c>
      <c r="D13" s="18" t="s">
        <v>26</v>
      </c>
      <c r="E13" s="19">
        <v>26.033082191780821</v>
      </c>
      <c r="G13" s="16" t="s">
        <v>57</v>
      </c>
      <c r="H13" s="23"/>
      <c r="I13" s="17">
        <v>27.565799999999992</v>
      </c>
      <c r="M13" s="22"/>
      <c r="N13" s="18">
        <v>0.13</v>
      </c>
      <c r="O13" s="19">
        <v>26.657142857142855</v>
      </c>
    </row>
    <row r="14" spans="1:15" ht="14.4" x14ac:dyDescent="0.3">
      <c r="A14" s="18" t="s">
        <v>64</v>
      </c>
      <c r="B14" s="19">
        <v>26.006027397260276</v>
      </c>
      <c r="D14" s="18" t="s">
        <v>72</v>
      </c>
      <c r="E14" s="19"/>
      <c r="G14" s="16" t="s">
        <v>52</v>
      </c>
      <c r="H14" s="16" t="s">
        <v>67</v>
      </c>
      <c r="I14" s="17">
        <v>24.995882352941177</v>
      </c>
      <c r="M14" s="22"/>
      <c r="N14" s="18">
        <v>0.14000000000000001</v>
      </c>
      <c r="O14" s="19">
        <v>25.043636363636367</v>
      </c>
    </row>
    <row r="15" spans="1:15" ht="14.4" x14ac:dyDescent="0.3">
      <c r="A15" s="18" t="s">
        <v>65</v>
      </c>
      <c r="B15" s="19">
        <v>26.366923076923079</v>
      </c>
      <c r="D15" s="20" t="s">
        <v>55</v>
      </c>
      <c r="E15" s="21">
        <v>26.073333333333331</v>
      </c>
      <c r="G15" s="22"/>
      <c r="H15" s="18" t="s">
        <v>68</v>
      </c>
      <c r="I15" s="19">
        <v>25.490869565217391</v>
      </c>
      <c r="M15" s="22"/>
      <c r="N15" s="18">
        <v>0.15</v>
      </c>
      <c r="O15" s="19">
        <v>26.309999999999995</v>
      </c>
    </row>
    <row r="16" spans="1:15" ht="14.4" x14ac:dyDescent="0.3">
      <c r="A16" s="18" t="s">
        <v>66</v>
      </c>
      <c r="B16" s="19">
        <v>25.317777777777778</v>
      </c>
      <c r="E16" s="5"/>
      <c r="G16" s="22"/>
      <c r="H16" s="18" t="s">
        <v>69</v>
      </c>
      <c r="I16" s="19">
        <v>25.37</v>
      </c>
      <c r="M16" s="22"/>
      <c r="N16" s="18">
        <v>0.16</v>
      </c>
      <c r="O16" s="19">
        <v>26.68</v>
      </c>
    </row>
    <row r="17" spans="1:15" ht="14.4" x14ac:dyDescent="0.3">
      <c r="A17" s="20" t="s">
        <v>55</v>
      </c>
      <c r="B17" s="21">
        <v>26.073333333333306</v>
      </c>
      <c r="D17" s="14" t="s">
        <v>3</v>
      </c>
      <c r="E17" s="15" t="s">
        <v>53</v>
      </c>
      <c r="G17" s="22"/>
      <c r="H17" s="18" t="s">
        <v>70</v>
      </c>
      <c r="I17" s="19">
        <v>25.079142857142855</v>
      </c>
      <c r="M17" s="22"/>
      <c r="N17" s="18">
        <v>0.17</v>
      </c>
      <c r="O17" s="19">
        <v>24.905000000000001</v>
      </c>
    </row>
    <row r="18" spans="1:15" ht="14.4" x14ac:dyDescent="0.3">
      <c r="B18" s="5"/>
      <c r="D18" s="16" t="s">
        <v>19</v>
      </c>
      <c r="E18" s="17">
        <v>26.041866666666678</v>
      </c>
      <c r="G18" s="22"/>
      <c r="H18" s="18" t="s">
        <v>71</v>
      </c>
      <c r="I18" s="19">
        <v>25.390937500000003</v>
      </c>
      <c r="M18" s="22"/>
      <c r="N18" s="18">
        <v>0.18</v>
      </c>
      <c r="O18" s="19">
        <v>23.5</v>
      </c>
    </row>
    <row r="19" spans="1:15" ht="14.4" x14ac:dyDescent="0.3">
      <c r="B19" s="5"/>
      <c r="D19" s="18" t="s">
        <v>21</v>
      </c>
      <c r="E19" s="19">
        <v>26.225666666666662</v>
      </c>
      <c r="G19" s="16" t="s">
        <v>58</v>
      </c>
      <c r="H19" s="23"/>
      <c r="I19" s="17">
        <v>25.240333333333336</v>
      </c>
      <c r="M19" s="22"/>
      <c r="N19" s="18">
        <v>0.19</v>
      </c>
      <c r="O19" s="19">
        <v>24.016666666666666</v>
      </c>
    </row>
    <row r="20" spans="1:15" ht="14.4" x14ac:dyDescent="0.3">
      <c r="B20" s="5"/>
      <c r="D20" s="18" t="s">
        <v>17</v>
      </c>
      <c r="E20" s="19">
        <v>25.952466666666659</v>
      </c>
      <c r="G20" s="16" t="s">
        <v>72</v>
      </c>
      <c r="H20" s="16" t="s">
        <v>73</v>
      </c>
      <c r="I20" s="17"/>
      <c r="M20" s="22"/>
      <c r="N20" s="18">
        <v>0.2</v>
      </c>
      <c r="O20" s="19">
        <v>24.32</v>
      </c>
    </row>
    <row r="21" spans="1:15" ht="15.75" customHeight="1" x14ac:dyDescent="0.3">
      <c r="B21" s="5"/>
      <c r="D21" s="20" t="s">
        <v>55</v>
      </c>
      <c r="E21" s="21">
        <v>26.073333333333359</v>
      </c>
      <c r="G21" s="16" t="s">
        <v>74</v>
      </c>
      <c r="H21" s="23"/>
      <c r="I21" s="17"/>
      <c r="M21" s="22"/>
      <c r="N21" s="18">
        <v>0.22</v>
      </c>
      <c r="O21" s="19">
        <v>26.774999999999999</v>
      </c>
    </row>
    <row r="22" spans="1:15" ht="15.75" customHeight="1" x14ac:dyDescent="0.3">
      <c r="B22" s="5"/>
      <c r="E22" s="5"/>
      <c r="G22" s="20" t="s">
        <v>55</v>
      </c>
      <c r="H22" s="24"/>
      <c r="I22" s="21">
        <v>26.073333333333323</v>
      </c>
      <c r="M22" s="22"/>
      <c r="N22" s="18">
        <v>0.24</v>
      </c>
      <c r="O22" s="19">
        <v>25.07</v>
      </c>
    </row>
    <row r="23" spans="1:15" ht="15.75" customHeight="1" x14ac:dyDescent="0.3">
      <c r="B23" s="5"/>
      <c r="E23" s="5"/>
      <c r="I23" s="5"/>
      <c r="M23" s="22"/>
      <c r="N23" s="18">
        <v>0.25</v>
      </c>
      <c r="O23" s="19">
        <v>25.54</v>
      </c>
    </row>
    <row r="24" spans="1:15" ht="15.75" customHeight="1" x14ac:dyDescent="0.3">
      <c r="B24" s="5"/>
      <c r="E24" s="5"/>
      <c r="I24" s="5"/>
      <c r="M24" s="22"/>
      <c r="N24" s="18">
        <v>0.26</v>
      </c>
      <c r="O24" s="19">
        <v>25.8</v>
      </c>
    </row>
    <row r="25" spans="1:15" ht="15.75" customHeight="1" x14ac:dyDescent="0.3">
      <c r="B25" s="5"/>
      <c r="E25" s="5"/>
      <c r="I25" s="5"/>
      <c r="M25" s="22"/>
      <c r="N25" s="18">
        <v>0.27</v>
      </c>
      <c r="O25" s="19">
        <v>25.09</v>
      </c>
    </row>
    <row r="26" spans="1:15" ht="15.75" customHeight="1" x14ac:dyDescent="0.3">
      <c r="B26" s="5"/>
      <c r="E26" s="5"/>
      <c r="I26" s="5"/>
      <c r="M26" s="22"/>
      <c r="N26" s="18">
        <v>0.28000000000000003</v>
      </c>
      <c r="O26" s="19">
        <v>26.849999999999998</v>
      </c>
    </row>
    <row r="27" spans="1:15" ht="15.75" customHeight="1" x14ac:dyDescent="0.3">
      <c r="B27" s="5"/>
      <c r="E27" s="5"/>
      <c r="I27" s="5"/>
      <c r="M27" s="22"/>
      <c r="N27" s="18">
        <v>0.28999999999999998</v>
      </c>
      <c r="O27" s="19">
        <v>26.817499999999999</v>
      </c>
    </row>
    <row r="28" spans="1:15" ht="15.75" customHeight="1" x14ac:dyDescent="0.3">
      <c r="B28" s="5"/>
      <c r="E28" s="5"/>
      <c r="I28" s="5"/>
      <c r="M28" s="22"/>
      <c r="N28" s="18">
        <v>0.3</v>
      </c>
      <c r="O28" s="19">
        <v>25.395</v>
      </c>
    </row>
    <row r="29" spans="1:15" ht="15.75" customHeight="1" x14ac:dyDescent="0.3">
      <c r="B29" s="5"/>
      <c r="E29" s="5"/>
      <c r="I29" s="5"/>
      <c r="M29" s="16" t="s">
        <v>56</v>
      </c>
      <c r="N29" s="23"/>
      <c r="O29" s="17">
        <v>25.41386666666666</v>
      </c>
    </row>
    <row r="30" spans="1:15" ht="15.75" customHeight="1" x14ac:dyDescent="0.3">
      <c r="B30" s="5"/>
      <c r="E30" s="5"/>
      <c r="I30" s="5"/>
      <c r="M30" s="16" t="s">
        <v>51</v>
      </c>
      <c r="N30" s="16">
        <v>0.02</v>
      </c>
      <c r="O30" s="17">
        <v>27.332500000000003</v>
      </c>
    </row>
    <row r="31" spans="1:15" ht="15.75" customHeight="1" x14ac:dyDescent="0.3">
      <c r="B31" s="5"/>
      <c r="E31" s="5"/>
      <c r="I31" s="5"/>
      <c r="M31" s="22"/>
      <c r="N31" s="18">
        <v>0.03</v>
      </c>
      <c r="O31" s="19">
        <v>27.109999999999996</v>
      </c>
    </row>
    <row r="32" spans="1:15" ht="15.75" customHeight="1" x14ac:dyDescent="0.3">
      <c r="B32" s="5"/>
      <c r="E32" s="5"/>
      <c r="I32" s="5"/>
      <c r="M32" s="22"/>
      <c r="N32" s="18">
        <v>0.04</v>
      </c>
      <c r="O32" s="19">
        <v>27.214444444444446</v>
      </c>
    </row>
    <row r="33" spans="2:15" ht="15.75" customHeight="1" x14ac:dyDescent="0.3">
      <c r="B33" s="5"/>
      <c r="E33" s="5"/>
      <c r="I33" s="5"/>
      <c r="M33" s="22"/>
      <c r="N33" s="18">
        <v>0.05</v>
      </c>
      <c r="O33" s="19">
        <v>27.318999999999999</v>
      </c>
    </row>
    <row r="34" spans="2:15" ht="15.75" customHeight="1" x14ac:dyDescent="0.3">
      <c r="B34" s="5"/>
      <c r="E34" s="5"/>
      <c r="I34" s="5"/>
      <c r="M34" s="22"/>
      <c r="N34" s="18">
        <v>0.06</v>
      </c>
      <c r="O34" s="19">
        <v>27.873333333333331</v>
      </c>
    </row>
    <row r="35" spans="2:15" ht="15.75" customHeight="1" x14ac:dyDescent="0.3">
      <c r="B35" s="5"/>
      <c r="E35" s="5"/>
      <c r="I35" s="5"/>
      <c r="M35" s="22"/>
      <c r="N35" s="18">
        <v>7.0000000000000007E-2</v>
      </c>
      <c r="O35" s="19">
        <v>26.680833333333336</v>
      </c>
    </row>
    <row r="36" spans="2:15" ht="15.75" customHeight="1" x14ac:dyDescent="0.3">
      <c r="B36" s="5"/>
      <c r="E36" s="5"/>
      <c r="I36" s="5"/>
      <c r="M36" s="22"/>
      <c r="N36" s="18">
        <v>0.08</v>
      </c>
      <c r="O36" s="19">
        <v>28.392000000000003</v>
      </c>
    </row>
    <row r="37" spans="2:15" ht="15.75" customHeight="1" x14ac:dyDescent="0.3">
      <c r="B37" s="5"/>
      <c r="E37" s="5"/>
      <c r="I37" s="5"/>
      <c r="M37" s="22"/>
      <c r="N37" s="18">
        <v>0.09</v>
      </c>
      <c r="O37" s="19">
        <v>26.895384615384614</v>
      </c>
    </row>
    <row r="38" spans="2:15" ht="15.75" customHeight="1" x14ac:dyDescent="0.3">
      <c r="B38" s="5"/>
      <c r="E38" s="5"/>
      <c r="I38" s="5"/>
      <c r="M38" s="22"/>
      <c r="N38" s="18">
        <v>0.1</v>
      </c>
      <c r="O38" s="19">
        <v>27.856250000000003</v>
      </c>
    </row>
    <row r="39" spans="2:15" ht="15.75" customHeight="1" x14ac:dyDescent="0.3">
      <c r="B39" s="5"/>
      <c r="E39" s="5"/>
      <c r="I39" s="5"/>
      <c r="M39" s="22"/>
      <c r="N39" s="18">
        <v>0.11</v>
      </c>
      <c r="O39" s="19">
        <v>26.535</v>
      </c>
    </row>
    <row r="40" spans="2:15" ht="15.75" customHeight="1" x14ac:dyDescent="0.3">
      <c r="B40" s="5"/>
      <c r="E40" s="5"/>
      <c r="I40" s="5"/>
      <c r="M40" s="22"/>
      <c r="N40" s="18">
        <v>0.12</v>
      </c>
      <c r="O40" s="19">
        <v>27.782142857142855</v>
      </c>
    </row>
    <row r="41" spans="2:15" ht="15.75" customHeight="1" x14ac:dyDescent="0.3">
      <c r="B41" s="5"/>
      <c r="E41" s="5"/>
      <c r="I41" s="5"/>
      <c r="M41" s="22"/>
      <c r="N41" s="18">
        <v>0.13</v>
      </c>
      <c r="O41" s="19">
        <v>28.370909090909095</v>
      </c>
    </row>
    <row r="42" spans="2:15" ht="15.75" customHeight="1" x14ac:dyDescent="0.3">
      <c r="B42" s="5"/>
      <c r="E42" s="5"/>
      <c r="I42" s="5"/>
      <c r="M42" s="22"/>
      <c r="N42" s="18">
        <v>0.14000000000000001</v>
      </c>
      <c r="O42" s="19">
        <v>27.526249999999997</v>
      </c>
    </row>
    <row r="43" spans="2:15" ht="15.75" customHeight="1" x14ac:dyDescent="0.3">
      <c r="B43" s="5"/>
      <c r="E43" s="5"/>
      <c r="I43" s="5"/>
      <c r="M43" s="22"/>
      <c r="N43" s="18">
        <v>0.15</v>
      </c>
      <c r="O43" s="19">
        <v>28.223333333333333</v>
      </c>
    </row>
    <row r="44" spans="2:15" ht="15.75" customHeight="1" x14ac:dyDescent="0.3">
      <c r="B44" s="5"/>
      <c r="E44" s="5"/>
      <c r="I44" s="5"/>
      <c r="M44" s="22"/>
      <c r="N44" s="18">
        <v>0.16</v>
      </c>
      <c r="O44" s="19">
        <v>28.954999999999998</v>
      </c>
    </row>
    <row r="45" spans="2:15" ht="15.75" customHeight="1" x14ac:dyDescent="0.3">
      <c r="B45" s="5"/>
      <c r="E45" s="5"/>
      <c r="I45" s="5"/>
      <c r="M45" s="22"/>
      <c r="N45" s="18">
        <v>0.19</v>
      </c>
      <c r="O45" s="19">
        <v>25.72666666666667</v>
      </c>
    </row>
    <row r="46" spans="2:15" ht="15.75" customHeight="1" x14ac:dyDescent="0.3">
      <c r="B46" s="5"/>
      <c r="E46" s="5"/>
      <c r="I46" s="5"/>
      <c r="M46" s="22"/>
      <c r="N46" s="18">
        <v>0.2</v>
      </c>
      <c r="O46" s="19">
        <v>27.42</v>
      </c>
    </row>
    <row r="47" spans="2:15" ht="15.75" customHeight="1" x14ac:dyDescent="0.3">
      <c r="B47" s="5"/>
      <c r="E47" s="5"/>
      <c r="I47" s="5"/>
      <c r="M47" s="22"/>
      <c r="N47" s="18">
        <v>0.21</v>
      </c>
      <c r="O47" s="19">
        <v>27.486666666666665</v>
      </c>
    </row>
    <row r="48" spans="2:15" ht="15.75" customHeight="1" x14ac:dyDescent="0.3">
      <c r="B48" s="5"/>
      <c r="E48" s="5"/>
      <c r="I48" s="5"/>
      <c r="M48" s="22"/>
      <c r="N48" s="18">
        <v>0.22</v>
      </c>
      <c r="O48" s="19">
        <v>31.435000000000002</v>
      </c>
    </row>
    <row r="49" spans="2:15" ht="15.75" customHeight="1" x14ac:dyDescent="0.3">
      <c r="B49" s="5"/>
      <c r="E49" s="5"/>
      <c r="I49" s="5"/>
      <c r="M49" s="22"/>
      <c r="N49" s="18">
        <v>0.23</v>
      </c>
      <c r="O49" s="19">
        <v>26.47</v>
      </c>
    </row>
    <row r="50" spans="2:15" ht="15.75" customHeight="1" x14ac:dyDescent="0.3">
      <c r="B50" s="5"/>
      <c r="E50" s="5"/>
      <c r="I50" s="5"/>
      <c r="M50" s="22"/>
      <c r="N50" s="18">
        <v>0.24</v>
      </c>
      <c r="O50" s="19">
        <v>29.7</v>
      </c>
    </row>
    <row r="51" spans="2:15" ht="15.75" customHeight="1" x14ac:dyDescent="0.3">
      <c r="B51" s="5"/>
      <c r="E51" s="5"/>
      <c r="I51" s="5"/>
      <c r="M51" s="22"/>
      <c r="N51" s="18">
        <v>0.25</v>
      </c>
      <c r="O51" s="19">
        <v>24.82</v>
      </c>
    </row>
    <row r="52" spans="2:15" ht="15.75" customHeight="1" x14ac:dyDescent="0.3">
      <c r="B52" s="5"/>
      <c r="E52" s="5"/>
      <c r="I52" s="5"/>
      <c r="M52" s="22"/>
      <c r="N52" s="18">
        <v>0.26</v>
      </c>
      <c r="O52" s="19">
        <v>28.38</v>
      </c>
    </row>
    <row r="53" spans="2:15" ht="15.75" customHeight="1" x14ac:dyDescent="0.3">
      <c r="B53" s="5"/>
      <c r="E53" s="5"/>
      <c r="I53" s="5"/>
      <c r="M53" s="22"/>
      <c r="N53" s="18">
        <v>0.27</v>
      </c>
      <c r="O53" s="19">
        <v>28.504999999999999</v>
      </c>
    </row>
    <row r="54" spans="2:15" ht="15.75" customHeight="1" x14ac:dyDescent="0.3">
      <c r="B54" s="5"/>
      <c r="E54" s="5"/>
      <c r="I54" s="5"/>
      <c r="M54" s="22"/>
      <c r="N54" s="18">
        <v>0.28999999999999998</v>
      </c>
      <c r="O54" s="19">
        <v>28.98</v>
      </c>
    </row>
    <row r="55" spans="2:15" ht="15.75" customHeight="1" x14ac:dyDescent="0.3">
      <c r="B55" s="5"/>
      <c r="E55" s="5"/>
      <c r="I55" s="5"/>
      <c r="M55" s="16" t="s">
        <v>57</v>
      </c>
      <c r="N55" s="23"/>
      <c r="O55" s="17">
        <v>27.565799999999999</v>
      </c>
    </row>
    <row r="56" spans="2:15" ht="15.75" customHeight="1" x14ac:dyDescent="0.3">
      <c r="B56" s="5"/>
      <c r="E56" s="5"/>
      <c r="I56" s="5"/>
      <c r="M56" s="16" t="s">
        <v>52</v>
      </c>
      <c r="N56" s="16">
        <v>0.02</v>
      </c>
      <c r="O56" s="17">
        <v>24.805</v>
      </c>
    </row>
    <row r="57" spans="2:15" ht="15.75" customHeight="1" x14ac:dyDescent="0.3">
      <c r="B57" s="5"/>
      <c r="E57" s="5"/>
      <c r="I57" s="5"/>
      <c r="M57" s="22"/>
      <c r="N57" s="18">
        <v>0.03</v>
      </c>
      <c r="O57" s="19">
        <v>24.213333333333331</v>
      </c>
    </row>
    <row r="58" spans="2:15" ht="15.75" customHeight="1" x14ac:dyDescent="0.3">
      <c r="B58" s="5"/>
      <c r="E58" s="5"/>
      <c r="I58" s="5"/>
      <c r="M58" s="22"/>
      <c r="N58" s="18">
        <v>0.04</v>
      </c>
      <c r="O58" s="19">
        <v>25.565000000000001</v>
      </c>
    </row>
    <row r="59" spans="2:15" ht="15.75" customHeight="1" x14ac:dyDescent="0.3">
      <c r="B59" s="5"/>
      <c r="E59" s="5"/>
      <c r="I59" s="5"/>
      <c r="M59" s="22"/>
      <c r="N59" s="18">
        <v>0.05</v>
      </c>
      <c r="O59" s="19">
        <v>24.92</v>
      </c>
    </row>
    <row r="60" spans="2:15" ht="15.75" customHeight="1" x14ac:dyDescent="0.3">
      <c r="B60" s="5"/>
      <c r="E60" s="5"/>
      <c r="I60" s="5"/>
      <c r="M60" s="22"/>
      <c r="N60" s="18">
        <v>0.06</v>
      </c>
      <c r="O60" s="19">
        <v>26.037692307692303</v>
      </c>
    </row>
    <row r="61" spans="2:15" ht="15.75" customHeight="1" x14ac:dyDescent="0.3">
      <c r="B61" s="5"/>
      <c r="E61" s="5"/>
      <c r="I61" s="5"/>
      <c r="M61" s="22"/>
      <c r="N61" s="18">
        <v>7.0000000000000007E-2</v>
      </c>
      <c r="O61" s="19">
        <v>25.75</v>
      </c>
    </row>
    <row r="62" spans="2:15" ht="15.75" customHeight="1" x14ac:dyDescent="0.3">
      <c r="B62" s="5"/>
      <c r="E62" s="5"/>
      <c r="I62" s="5"/>
      <c r="M62" s="22"/>
      <c r="N62" s="18">
        <v>0.08</v>
      </c>
      <c r="O62" s="19">
        <v>25.815555555555552</v>
      </c>
    </row>
    <row r="63" spans="2:15" ht="15.75" customHeight="1" x14ac:dyDescent="0.3">
      <c r="B63" s="5"/>
      <c r="E63" s="5"/>
      <c r="I63" s="5"/>
      <c r="M63" s="22"/>
      <c r="N63" s="18">
        <v>0.09</v>
      </c>
      <c r="O63" s="19">
        <v>25.52</v>
      </c>
    </row>
    <row r="64" spans="2:15" ht="15.75" customHeight="1" x14ac:dyDescent="0.3">
      <c r="B64" s="5"/>
      <c r="E64" s="5"/>
      <c r="I64" s="5"/>
      <c r="M64" s="22"/>
      <c r="N64" s="18">
        <v>0.1</v>
      </c>
      <c r="O64" s="19">
        <v>26.142307692307693</v>
      </c>
    </row>
    <row r="65" spans="2:15" ht="15.75" customHeight="1" x14ac:dyDescent="0.3">
      <c r="B65" s="5"/>
      <c r="E65" s="5"/>
      <c r="I65" s="5"/>
      <c r="M65" s="22"/>
      <c r="N65" s="18">
        <v>0.11</v>
      </c>
      <c r="O65" s="19">
        <v>26.001999999999999</v>
      </c>
    </row>
    <row r="66" spans="2:15" ht="15.75" customHeight="1" x14ac:dyDescent="0.3">
      <c r="B66" s="5"/>
      <c r="E66" s="5"/>
      <c r="I66" s="5"/>
      <c r="M66" s="22"/>
      <c r="N66" s="18">
        <v>0.12</v>
      </c>
      <c r="O66" s="19">
        <v>25.038571428571426</v>
      </c>
    </row>
    <row r="67" spans="2:15" ht="15.75" customHeight="1" x14ac:dyDescent="0.3">
      <c r="B67" s="5"/>
      <c r="E67" s="5"/>
      <c r="I67" s="5"/>
      <c r="M67" s="22"/>
      <c r="N67" s="18">
        <v>0.13</v>
      </c>
      <c r="O67" s="19">
        <v>24.800769230769227</v>
      </c>
    </row>
    <row r="68" spans="2:15" ht="15.75" customHeight="1" x14ac:dyDescent="0.3">
      <c r="B68" s="5"/>
      <c r="E68" s="5"/>
      <c r="I68" s="5"/>
      <c r="M68" s="22"/>
      <c r="N68" s="18">
        <v>0.14000000000000001</v>
      </c>
      <c r="O68" s="19">
        <v>25.095999999999997</v>
      </c>
    </row>
    <row r="69" spans="2:15" ht="15.75" customHeight="1" x14ac:dyDescent="0.3">
      <c r="B69" s="5"/>
      <c r="E69" s="5"/>
      <c r="I69" s="5"/>
      <c r="M69" s="22"/>
      <c r="N69" s="18">
        <v>0.15</v>
      </c>
      <c r="O69" s="19">
        <v>24.756250000000001</v>
      </c>
    </row>
    <row r="70" spans="2:15" ht="15.75" customHeight="1" x14ac:dyDescent="0.3">
      <c r="B70" s="5"/>
      <c r="E70" s="5"/>
      <c r="I70" s="5"/>
      <c r="M70" s="22"/>
      <c r="N70" s="18">
        <v>0.16</v>
      </c>
      <c r="O70" s="19">
        <v>23.634999999999998</v>
      </c>
    </row>
    <row r="71" spans="2:15" ht="15.75" customHeight="1" x14ac:dyDescent="0.3">
      <c r="B71" s="5"/>
      <c r="E71" s="5"/>
      <c r="I71" s="5"/>
      <c r="M71" s="22"/>
      <c r="N71" s="18">
        <v>0.17</v>
      </c>
      <c r="O71" s="19">
        <v>27.62</v>
      </c>
    </row>
    <row r="72" spans="2:15" ht="15.75" customHeight="1" x14ac:dyDescent="0.3">
      <c r="B72" s="5"/>
      <c r="E72" s="5"/>
      <c r="I72" s="5"/>
      <c r="M72" s="22"/>
      <c r="N72" s="18">
        <v>0.18</v>
      </c>
      <c r="O72" s="19">
        <v>23.3</v>
      </c>
    </row>
    <row r="73" spans="2:15" ht="15.75" customHeight="1" x14ac:dyDescent="0.3">
      <c r="B73" s="5"/>
      <c r="E73" s="5"/>
      <c r="I73" s="5"/>
      <c r="M73" s="22"/>
      <c r="N73" s="18">
        <v>0.2</v>
      </c>
      <c r="O73" s="19">
        <v>23.055</v>
      </c>
    </row>
    <row r="74" spans="2:15" ht="15.75" customHeight="1" x14ac:dyDescent="0.3">
      <c r="B74" s="5"/>
      <c r="E74" s="5"/>
      <c r="I74" s="5"/>
      <c r="M74" s="22"/>
      <c r="N74" s="18">
        <v>0.21</v>
      </c>
      <c r="O74" s="19">
        <v>23.083333333333332</v>
      </c>
    </row>
    <row r="75" spans="2:15" ht="15.75" customHeight="1" x14ac:dyDescent="0.3">
      <c r="B75" s="5"/>
      <c r="E75" s="5"/>
      <c r="I75" s="5"/>
      <c r="M75" s="22"/>
      <c r="N75" s="18">
        <v>0.23</v>
      </c>
      <c r="O75" s="19">
        <v>25.83</v>
      </c>
    </row>
    <row r="76" spans="2:15" ht="15.75" customHeight="1" x14ac:dyDescent="0.3">
      <c r="B76" s="5"/>
      <c r="E76" s="5"/>
      <c r="I76" s="5"/>
      <c r="M76" s="22"/>
      <c r="N76" s="18">
        <v>0.24</v>
      </c>
      <c r="O76" s="19">
        <v>26.82</v>
      </c>
    </row>
    <row r="77" spans="2:15" ht="15.75" customHeight="1" x14ac:dyDescent="0.3">
      <c r="B77" s="5"/>
      <c r="E77" s="5"/>
      <c r="I77" s="5"/>
      <c r="M77" s="22"/>
      <c r="N77" s="18">
        <v>0.25</v>
      </c>
      <c r="O77" s="19">
        <v>27.72</v>
      </c>
    </row>
    <row r="78" spans="2:15" ht="15.75" customHeight="1" x14ac:dyDescent="0.3">
      <c r="B78" s="5"/>
      <c r="E78" s="5"/>
      <c r="I78" s="5"/>
      <c r="M78" s="22"/>
      <c r="N78" s="18">
        <v>0.26</v>
      </c>
      <c r="O78" s="19">
        <v>24.844999999999999</v>
      </c>
    </row>
    <row r="79" spans="2:15" ht="15.75" customHeight="1" x14ac:dyDescent="0.3">
      <c r="B79" s="5"/>
      <c r="E79" s="5"/>
      <c r="I79" s="5"/>
      <c r="M79" s="22"/>
      <c r="N79" s="18">
        <v>0.27</v>
      </c>
      <c r="O79" s="19">
        <v>22.36</v>
      </c>
    </row>
    <row r="80" spans="2:15" ht="15.75" customHeight="1" x14ac:dyDescent="0.3">
      <c r="B80" s="5"/>
      <c r="E80" s="5"/>
      <c r="I80" s="5"/>
      <c r="M80" s="22"/>
      <c r="N80" s="18">
        <v>0.28000000000000003</v>
      </c>
      <c r="O80" s="19">
        <v>24.55</v>
      </c>
    </row>
    <row r="81" spans="2:15" ht="15.75" customHeight="1" x14ac:dyDescent="0.3">
      <c r="B81" s="5"/>
      <c r="E81" s="5"/>
      <c r="I81" s="5"/>
      <c r="M81" s="22"/>
      <c r="N81" s="18">
        <v>0.28999999999999998</v>
      </c>
      <c r="O81" s="19">
        <v>24.883333333333329</v>
      </c>
    </row>
    <row r="82" spans="2:15" ht="15.75" customHeight="1" x14ac:dyDescent="0.3">
      <c r="B82" s="5"/>
      <c r="E82" s="5"/>
      <c r="I82" s="5"/>
      <c r="M82" s="16" t="s">
        <v>58</v>
      </c>
      <c r="N82" s="23"/>
      <c r="O82" s="17">
        <v>25.240333333333343</v>
      </c>
    </row>
    <row r="83" spans="2:15" ht="15.75" customHeight="1" x14ac:dyDescent="0.3">
      <c r="B83" s="5"/>
      <c r="E83" s="5"/>
      <c r="I83" s="5"/>
      <c r="M83" s="16" t="s">
        <v>72</v>
      </c>
      <c r="N83" s="16" t="s">
        <v>72</v>
      </c>
      <c r="O83" s="17"/>
    </row>
    <row r="84" spans="2:15" ht="15.75" customHeight="1" x14ac:dyDescent="0.3">
      <c r="B84" s="5"/>
      <c r="E84" s="5"/>
      <c r="I84" s="5"/>
      <c r="M84" s="16" t="s">
        <v>74</v>
      </c>
      <c r="N84" s="23"/>
      <c r="O84" s="17"/>
    </row>
    <row r="85" spans="2:15" ht="15.75" customHeight="1" x14ac:dyDescent="0.3">
      <c r="B85" s="5"/>
      <c r="E85" s="5"/>
      <c r="I85" s="5"/>
      <c r="M85" s="20" t="s">
        <v>55</v>
      </c>
      <c r="N85" s="24"/>
      <c r="O85" s="21">
        <v>26.073333333333323</v>
      </c>
    </row>
    <row r="86" spans="2:15" ht="15.75" customHeight="1" x14ac:dyDescent="0.3">
      <c r="B86" s="5"/>
      <c r="E86" s="5"/>
      <c r="I86" s="5"/>
      <c r="O86" s="5"/>
    </row>
    <row r="87" spans="2:15" ht="15.75" customHeight="1" x14ac:dyDescent="0.3">
      <c r="B87" s="5"/>
      <c r="E87" s="5"/>
      <c r="I87" s="5"/>
      <c r="O87" s="5"/>
    </row>
    <row r="88" spans="2:15" ht="15.75" customHeight="1" x14ac:dyDescent="0.3">
      <c r="B88" s="5"/>
      <c r="E88" s="5"/>
      <c r="I88" s="5"/>
      <c r="O88" s="5"/>
    </row>
    <row r="89" spans="2:15" ht="15.75" customHeight="1" x14ac:dyDescent="0.3">
      <c r="B89" s="5"/>
      <c r="E89" s="5"/>
      <c r="I89" s="5"/>
      <c r="O89" s="5"/>
    </row>
    <row r="90" spans="2:15" ht="15.75" customHeight="1" x14ac:dyDescent="0.3">
      <c r="B90" s="5"/>
      <c r="E90" s="5"/>
      <c r="I90" s="5"/>
      <c r="O90" s="5"/>
    </row>
    <row r="91" spans="2:15" ht="15.75" customHeight="1" x14ac:dyDescent="0.3">
      <c r="B91" s="5"/>
      <c r="E91" s="5"/>
      <c r="I91" s="5"/>
      <c r="O91" s="5"/>
    </row>
    <row r="92" spans="2:15" ht="15.75" customHeight="1" x14ac:dyDescent="0.3">
      <c r="B92" s="5"/>
      <c r="E92" s="5"/>
      <c r="I92" s="5"/>
      <c r="O92" s="5"/>
    </row>
    <row r="93" spans="2:15" ht="15.75" customHeight="1" x14ac:dyDescent="0.3">
      <c r="B93" s="5"/>
      <c r="E93" s="5"/>
      <c r="I93" s="5"/>
      <c r="O93" s="5"/>
    </row>
    <row r="94" spans="2:15" ht="15.75" customHeight="1" x14ac:dyDescent="0.3">
      <c r="B94" s="5"/>
      <c r="E94" s="5"/>
      <c r="I94" s="5"/>
      <c r="O94" s="5"/>
    </row>
    <row r="95" spans="2:15" ht="15.75" customHeight="1" x14ac:dyDescent="0.3">
      <c r="B95" s="5"/>
      <c r="E95" s="5"/>
      <c r="I95" s="5"/>
      <c r="O95" s="5"/>
    </row>
    <row r="96" spans="2:15" ht="15.75" customHeight="1" x14ac:dyDescent="0.3">
      <c r="B96" s="5"/>
      <c r="E96" s="5"/>
      <c r="I96" s="5"/>
      <c r="O96" s="5"/>
    </row>
    <row r="97" spans="2:15" ht="15.75" customHeight="1" x14ac:dyDescent="0.3">
      <c r="B97" s="5"/>
      <c r="E97" s="5"/>
      <c r="I97" s="5"/>
      <c r="O97" s="5"/>
    </row>
    <row r="98" spans="2:15" ht="15.75" customHeight="1" x14ac:dyDescent="0.3">
      <c r="B98" s="5"/>
      <c r="E98" s="5"/>
      <c r="I98" s="5"/>
      <c r="O98" s="5"/>
    </row>
    <row r="99" spans="2:15" ht="15.75" customHeight="1" x14ac:dyDescent="0.3">
      <c r="B99" s="5"/>
      <c r="E99" s="5"/>
      <c r="I99" s="5"/>
      <c r="O99" s="5"/>
    </row>
    <row r="100" spans="2:15" ht="15.75" customHeight="1" x14ac:dyDescent="0.3">
      <c r="B100" s="5"/>
      <c r="E100" s="5"/>
      <c r="I100" s="5"/>
      <c r="O100" s="5"/>
    </row>
    <row r="101" spans="2:15" ht="15.75" customHeight="1" x14ac:dyDescent="0.3">
      <c r="B101" s="5"/>
      <c r="E101" s="5"/>
      <c r="I101" s="5"/>
      <c r="O101" s="5"/>
    </row>
    <row r="102" spans="2:15" ht="15.75" customHeight="1" x14ac:dyDescent="0.3">
      <c r="B102" s="5"/>
      <c r="E102" s="5"/>
      <c r="I102" s="5"/>
      <c r="O102" s="5"/>
    </row>
    <row r="103" spans="2:15" ht="15.75" customHeight="1" x14ac:dyDescent="0.3">
      <c r="B103" s="5"/>
      <c r="E103" s="5"/>
      <c r="I103" s="5"/>
      <c r="O103" s="5"/>
    </row>
    <row r="104" spans="2:15" ht="15.75" customHeight="1" x14ac:dyDescent="0.3">
      <c r="B104" s="5"/>
      <c r="E104" s="5"/>
      <c r="I104" s="5"/>
      <c r="O104" s="5"/>
    </row>
    <row r="105" spans="2:15" ht="15.75" customHeight="1" x14ac:dyDescent="0.3">
      <c r="B105" s="5"/>
      <c r="E105" s="5"/>
      <c r="I105" s="5"/>
      <c r="O105" s="5"/>
    </row>
    <row r="106" spans="2:15" ht="15.75" customHeight="1" x14ac:dyDescent="0.3">
      <c r="B106" s="5"/>
      <c r="E106" s="5"/>
      <c r="I106" s="5"/>
      <c r="O106" s="5"/>
    </row>
    <row r="107" spans="2:15" ht="15.75" customHeight="1" x14ac:dyDescent="0.3">
      <c r="B107" s="5"/>
      <c r="E107" s="5"/>
      <c r="I107" s="5"/>
      <c r="O107" s="5"/>
    </row>
    <row r="108" spans="2:15" ht="15.75" customHeight="1" x14ac:dyDescent="0.3">
      <c r="B108" s="5"/>
      <c r="E108" s="5"/>
      <c r="I108" s="5"/>
      <c r="O108" s="5"/>
    </row>
    <row r="109" spans="2:15" ht="15.75" customHeight="1" x14ac:dyDescent="0.3">
      <c r="B109" s="5"/>
      <c r="E109" s="5"/>
      <c r="I109" s="5"/>
      <c r="O109" s="5"/>
    </row>
    <row r="110" spans="2:15" ht="15.75" customHeight="1" x14ac:dyDescent="0.3">
      <c r="B110" s="5"/>
      <c r="E110" s="5"/>
      <c r="I110" s="5"/>
      <c r="O110" s="5"/>
    </row>
    <row r="111" spans="2:15" ht="15.75" customHeight="1" x14ac:dyDescent="0.3">
      <c r="B111" s="5"/>
      <c r="E111" s="5"/>
      <c r="I111" s="5"/>
      <c r="O111" s="5"/>
    </row>
    <row r="112" spans="2:15" ht="15.75" customHeight="1" x14ac:dyDescent="0.3">
      <c r="B112" s="5"/>
      <c r="E112" s="5"/>
      <c r="I112" s="5"/>
      <c r="O112" s="5"/>
    </row>
    <row r="113" spans="2:15" ht="15.75" customHeight="1" x14ac:dyDescent="0.3">
      <c r="B113" s="5"/>
      <c r="E113" s="5"/>
      <c r="I113" s="5"/>
      <c r="O113" s="5"/>
    </row>
    <row r="114" spans="2:15" ht="15.75" customHeight="1" x14ac:dyDescent="0.3">
      <c r="B114" s="5"/>
      <c r="E114" s="5"/>
      <c r="I114" s="5"/>
      <c r="O114" s="5"/>
    </row>
    <row r="115" spans="2:15" ht="15.75" customHeight="1" x14ac:dyDescent="0.3">
      <c r="B115" s="5"/>
      <c r="E115" s="5"/>
      <c r="I115" s="5"/>
      <c r="O115" s="5"/>
    </row>
    <row r="116" spans="2:15" ht="15.75" customHeight="1" x14ac:dyDescent="0.3">
      <c r="B116" s="5"/>
      <c r="E116" s="5"/>
      <c r="I116" s="5"/>
      <c r="O116" s="5"/>
    </row>
    <row r="117" spans="2:15" ht="15.75" customHeight="1" x14ac:dyDescent="0.3">
      <c r="B117" s="5"/>
      <c r="E117" s="5"/>
      <c r="I117" s="5"/>
      <c r="O117" s="5"/>
    </row>
    <row r="118" spans="2:15" ht="15.75" customHeight="1" x14ac:dyDescent="0.3">
      <c r="B118" s="5"/>
      <c r="E118" s="5"/>
      <c r="I118" s="5"/>
      <c r="O118" s="5"/>
    </row>
    <row r="119" spans="2:15" ht="15.75" customHeight="1" x14ac:dyDescent="0.3">
      <c r="B119" s="5"/>
      <c r="E119" s="5"/>
      <c r="I119" s="5"/>
      <c r="O119" s="5"/>
    </row>
    <row r="120" spans="2:15" ht="15.75" customHeight="1" x14ac:dyDescent="0.3">
      <c r="B120" s="5"/>
      <c r="E120" s="5"/>
      <c r="I120" s="5"/>
      <c r="O120" s="5"/>
    </row>
    <row r="121" spans="2:15" ht="15.75" customHeight="1" x14ac:dyDescent="0.3">
      <c r="B121" s="5"/>
      <c r="E121" s="5"/>
      <c r="I121" s="5"/>
      <c r="O121" s="5"/>
    </row>
    <row r="122" spans="2:15" ht="15.75" customHeight="1" x14ac:dyDescent="0.3">
      <c r="B122" s="5"/>
      <c r="E122" s="5"/>
      <c r="I122" s="5"/>
      <c r="O122" s="5"/>
    </row>
    <row r="123" spans="2:15" ht="15.75" customHeight="1" x14ac:dyDescent="0.3">
      <c r="B123" s="5"/>
      <c r="E123" s="5"/>
      <c r="I123" s="5"/>
      <c r="O123" s="5"/>
    </row>
    <row r="124" spans="2:15" ht="15.75" customHeight="1" x14ac:dyDescent="0.3">
      <c r="B124" s="5"/>
      <c r="E124" s="5"/>
      <c r="I124" s="5"/>
      <c r="O124" s="5"/>
    </row>
    <row r="125" spans="2:15" ht="15.75" customHeight="1" x14ac:dyDescent="0.3">
      <c r="B125" s="5"/>
      <c r="E125" s="5"/>
      <c r="I125" s="5"/>
      <c r="O125" s="5"/>
    </row>
    <row r="126" spans="2:15" ht="15.75" customHeight="1" x14ac:dyDescent="0.3">
      <c r="B126" s="5"/>
      <c r="E126" s="5"/>
      <c r="I126" s="5"/>
      <c r="O126" s="5"/>
    </row>
    <row r="127" spans="2:15" ht="15.75" customHeight="1" x14ac:dyDescent="0.3">
      <c r="B127" s="5"/>
      <c r="E127" s="5"/>
      <c r="I127" s="5"/>
      <c r="O127" s="5"/>
    </row>
    <row r="128" spans="2:15" ht="15.75" customHeight="1" x14ac:dyDescent="0.3">
      <c r="B128" s="5"/>
      <c r="E128" s="5"/>
      <c r="I128" s="5"/>
      <c r="O128" s="5"/>
    </row>
    <row r="129" spans="2:15" ht="15.75" customHeight="1" x14ac:dyDescent="0.3">
      <c r="B129" s="5"/>
      <c r="E129" s="5"/>
      <c r="I129" s="5"/>
      <c r="O129" s="5"/>
    </row>
    <row r="130" spans="2:15" ht="15.75" customHeight="1" x14ac:dyDescent="0.3">
      <c r="B130" s="5"/>
      <c r="E130" s="5"/>
      <c r="I130" s="5"/>
      <c r="O130" s="5"/>
    </row>
    <row r="131" spans="2:15" ht="15.75" customHeight="1" x14ac:dyDescent="0.3">
      <c r="B131" s="5"/>
      <c r="E131" s="5"/>
      <c r="I131" s="5"/>
      <c r="O131" s="5"/>
    </row>
    <row r="132" spans="2:15" ht="15.75" customHeight="1" x14ac:dyDescent="0.3">
      <c r="B132" s="5"/>
      <c r="E132" s="5"/>
      <c r="I132" s="5"/>
      <c r="O132" s="5"/>
    </row>
    <row r="133" spans="2:15" ht="15.75" customHeight="1" x14ac:dyDescent="0.3">
      <c r="B133" s="5"/>
      <c r="E133" s="5"/>
      <c r="I133" s="5"/>
      <c r="O133" s="5"/>
    </row>
    <row r="134" spans="2:15" ht="15.75" customHeight="1" x14ac:dyDescent="0.3">
      <c r="B134" s="5"/>
      <c r="E134" s="5"/>
      <c r="I134" s="5"/>
      <c r="O134" s="5"/>
    </row>
    <row r="135" spans="2:15" ht="15.75" customHeight="1" x14ac:dyDescent="0.3">
      <c r="B135" s="5"/>
      <c r="E135" s="5"/>
      <c r="I135" s="5"/>
      <c r="O135" s="5"/>
    </row>
    <row r="136" spans="2:15" ht="15.75" customHeight="1" x14ac:dyDescent="0.3">
      <c r="B136" s="5"/>
      <c r="E136" s="5"/>
      <c r="I136" s="5"/>
      <c r="O136" s="5"/>
    </row>
    <row r="137" spans="2:15" ht="15.75" customHeight="1" x14ac:dyDescent="0.3">
      <c r="B137" s="5"/>
      <c r="E137" s="5"/>
      <c r="I137" s="5"/>
      <c r="O137" s="5"/>
    </row>
    <row r="138" spans="2:15" ht="15.75" customHeight="1" x14ac:dyDescent="0.3">
      <c r="B138" s="5"/>
      <c r="E138" s="5"/>
      <c r="I138" s="5"/>
      <c r="O138" s="5"/>
    </row>
    <row r="139" spans="2:15" ht="15.75" customHeight="1" x14ac:dyDescent="0.3">
      <c r="B139" s="5"/>
      <c r="E139" s="5"/>
      <c r="I139" s="5"/>
      <c r="O139" s="5"/>
    </row>
    <row r="140" spans="2:15" ht="15.75" customHeight="1" x14ac:dyDescent="0.3">
      <c r="B140" s="5"/>
      <c r="E140" s="5"/>
      <c r="I140" s="5"/>
      <c r="O140" s="5"/>
    </row>
    <row r="141" spans="2:15" ht="15.75" customHeight="1" x14ac:dyDescent="0.3">
      <c r="B141" s="5"/>
      <c r="E141" s="5"/>
      <c r="I141" s="5"/>
      <c r="O141" s="5"/>
    </row>
    <row r="142" spans="2:15" ht="15.75" customHeight="1" x14ac:dyDescent="0.3">
      <c r="B142" s="5"/>
      <c r="E142" s="5"/>
      <c r="I142" s="5"/>
      <c r="O142" s="5"/>
    </row>
    <row r="143" spans="2:15" ht="15.75" customHeight="1" x14ac:dyDescent="0.3">
      <c r="B143" s="5"/>
      <c r="E143" s="5"/>
      <c r="I143" s="5"/>
      <c r="O143" s="5"/>
    </row>
    <row r="144" spans="2:15" ht="15.75" customHeight="1" x14ac:dyDescent="0.3">
      <c r="B144" s="5"/>
      <c r="E144" s="5"/>
      <c r="I144" s="5"/>
      <c r="O144" s="5"/>
    </row>
    <row r="145" spans="2:15" ht="15.75" customHeight="1" x14ac:dyDescent="0.3">
      <c r="B145" s="5"/>
      <c r="E145" s="5"/>
      <c r="I145" s="5"/>
      <c r="O145" s="5"/>
    </row>
    <row r="146" spans="2:15" ht="15.75" customHeight="1" x14ac:dyDescent="0.3">
      <c r="B146" s="5"/>
      <c r="E146" s="5"/>
      <c r="I146" s="5"/>
      <c r="O146" s="5"/>
    </row>
    <row r="147" spans="2:15" ht="15.75" customHeight="1" x14ac:dyDescent="0.3">
      <c r="B147" s="5"/>
      <c r="E147" s="5"/>
      <c r="I147" s="5"/>
      <c r="O147" s="5"/>
    </row>
    <row r="148" spans="2:15" ht="15.75" customHeight="1" x14ac:dyDescent="0.3">
      <c r="B148" s="5"/>
      <c r="E148" s="5"/>
      <c r="I148" s="5"/>
      <c r="O148" s="5"/>
    </row>
    <row r="149" spans="2:15" ht="15.75" customHeight="1" x14ac:dyDescent="0.3">
      <c r="B149" s="5"/>
      <c r="E149" s="5"/>
      <c r="I149" s="5"/>
      <c r="O149" s="5"/>
    </row>
    <row r="150" spans="2:15" ht="15.75" customHeight="1" x14ac:dyDescent="0.3">
      <c r="B150" s="5"/>
      <c r="E150" s="5"/>
      <c r="I150" s="5"/>
      <c r="O150" s="5"/>
    </row>
    <row r="151" spans="2:15" ht="15.75" customHeight="1" x14ac:dyDescent="0.3">
      <c r="B151" s="5"/>
      <c r="E151" s="5"/>
      <c r="I151" s="5"/>
      <c r="O151" s="5"/>
    </row>
    <row r="152" spans="2:15" ht="15.75" customHeight="1" x14ac:dyDescent="0.3">
      <c r="B152" s="5"/>
      <c r="E152" s="5"/>
      <c r="I152" s="5"/>
      <c r="O152" s="5"/>
    </row>
    <row r="153" spans="2:15" ht="15.75" customHeight="1" x14ac:dyDescent="0.3">
      <c r="B153" s="5"/>
      <c r="E153" s="5"/>
      <c r="I153" s="5"/>
      <c r="O153" s="5"/>
    </row>
    <row r="154" spans="2:15" ht="15.75" customHeight="1" x14ac:dyDescent="0.3">
      <c r="B154" s="5"/>
      <c r="E154" s="5"/>
      <c r="I154" s="5"/>
      <c r="O154" s="5"/>
    </row>
    <row r="155" spans="2:15" ht="15.75" customHeight="1" x14ac:dyDescent="0.3">
      <c r="B155" s="5"/>
      <c r="E155" s="5"/>
      <c r="I155" s="5"/>
      <c r="O155" s="5"/>
    </row>
    <row r="156" spans="2:15" ht="15.75" customHeight="1" x14ac:dyDescent="0.3">
      <c r="B156" s="5"/>
      <c r="E156" s="5"/>
      <c r="I156" s="5"/>
      <c r="O156" s="5"/>
    </row>
    <row r="157" spans="2:15" ht="15.75" customHeight="1" x14ac:dyDescent="0.3">
      <c r="B157" s="5"/>
      <c r="E157" s="5"/>
      <c r="I157" s="5"/>
      <c r="O157" s="5"/>
    </row>
    <row r="158" spans="2:15" ht="15.75" customHeight="1" x14ac:dyDescent="0.3">
      <c r="B158" s="5"/>
      <c r="E158" s="5"/>
      <c r="I158" s="5"/>
      <c r="O158" s="5"/>
    </row>
    <row r="159" spans="2:15" ht="15.75" customHeight="1" x14ac:dyDescent="0.3">
      <c r="B159" s="5"/>
      <c r="E159" s="5"/>
      <c r="I159" s="5"/>
      <c r="O159" s="5"/>
    </row>
    <row r="160" spans="2:15" ht="15.75" customHeight="1" x14ac:dyDescent="0.3">
      <c r="B160" s="5"/>
      <c r="E160" s="5"/>
      <c r="I160" s="5"/>
      <c r="O160" s="5"/>
    </row>
    <row r="161" spans="2:15" ht="15.75" customHeight="1" x14ac:dyDescent="0.3">
      <c r="B161" s="5"/>
      <c r="E161" s="5"/>
      <c r="I161" s="5"/>
      <c r="O161" s="5"/>
    </row>
    <row r="162" spans="2:15" ht="15.75" customHeight="1" x14ac:dyDescent="0.3">
      <c r="B162" s="5"/>
      <c r="E162" s="5"/>
      <c r="I162" s="5"/>
      <c r="O162" s="5"/>
    </row>
    <row r="163" spans="2:15" ht="15.75" customHeight="1" x14ac:dyDescent="0.3">
      <c r="B163" s="5"/>
      <c r="E163" s="5"/>
      <c r="I163" s="5"/>
      <c r="O163" s="5"/>
    </row>
    <row r="164" spans="2:15" ht="15.75" customHeight="1" x14ac:dyDescent="0.3">
      <c r="B164" s="5"/>
      <c r="E164" s="5"/>
      <c r="I164" s="5"/>
      <c r="O164" s="5"/>
    </row>
    <row r="165" spans="2:15" ht="15.75" customHeight="1" x14ac:dyDescent="0.3">
      <c r="B165" s="5"/>
      <c r="E165" s="5"/>
      <c r="I165" s="5"/>
      <c r="O165" s="5"/>
    </row>
    <row r="166" spans="2:15" ht="15.75" customHeight="1" x14ac:dyDescent="0.3">
      <c r="B166" s="5"/>
      <c r="E166" s="5"/>
      <c r="I166" s="5"/>
      <c r="O166" s="5"/>
    </row>
    <row r="167" spans="2:15" ht="15.75" customHeight="1" x14ac:dyDescent="0.3">
      <c r="B167" s="5"/>
      <c r="E167" s="5"/>
      <c r="I167" s="5"/>
      <c r="O167" s="5"/>
    </row>
    <row r="168" spans="2:15" ht="15.75" customHeight="1" x14ac:dyDescent="0.3">
      <c r="B168" s="5"/>
      <c r="E168" s="5"/>
      <c r="I168" s="5"/>
      <c r="O168" s="5"/>
    </row>
    <row r="169" spans="2:15" ht="15.75" customHeight="1" x14ac:dyDescent="0.3">
      <c r="B169" s="5"/>
      <c r="E169" s="5"/>
      <c r="I169" s="5"/>
      <c r="O169" s="5"/>
    </row>
    <row r="170" spans="2:15" ht="15.75" customHeight="1" x14ac:dyDescent="0.3">
      <c r="B170" s="5"/>
      <c r="E170" s="5"/>
      <c r="I170" s="5"/>
      <c r="O170" s="5"/>
    </row>
    <row r="171" spans="2:15" ht="15.75" customHeight="1" x14ac:dyDescent="0.3">
      <c r="B171" s="5"/>
      <c r="E171" s="5"/>
      <c r="I171" s="5"/>
      <c r="O171" s="5"/>
    </row>
    <row r="172" spans="2:15" ht="15.75" customHeight="1" x14ac:dyDescent="0.3">
      <c r="B172" s="5"/>
      <c r="E172" s="5"/>
      <c r="I172" s="5"/>
      <c r="O172" s="5"/>
    </row>
    <row r="173" spans="2:15" ht="15.75" customHeight="1" x14ac:dyDescent="0.3">
      <c r="B173" s="5"/>
      <c r="E173" s="5"/>
      <c r="I173" s="5"/>
      <c r="O173" s="5"/>
    </row>
    <row r="174" spans="2:15" ht="15.75" customHeight="1" x14ac:dyDescent="0.3">
      <c r="B174" s="5"/>
      <c r="E174" s="5"/>
      <c r="I174" s="5"/>
      <c r="O174" s="5"/>
    </row>
    <row r="175" spans="2:15" ht="15.75" customHeight="1" x14ac:dyDescent="0.3">
      <c r="B175" s="5"/>
      <c r="E175" s="5"/>
      <c r="I175" s="5"/>
      <c r="O175" s="5"/>
    </row>
    <row r="176" spans="2:15" ht="15.75" customHeight="1" x14ac:dyDescent="0.3">
      <c r="B176" s="5"/>
      <c r="E176" s="5"/>
      <c r="I176" s="5"/>
      <c r="O176" s="5"/>
    </row>
    <row r="177" spans="2:15" ht="15.75" customHeight="1" x14ac:dyDescent="0.3">
      <c r="B177" s="5"/>
      <c r="E177" s="5"/>
      <c r="I177" s="5"/>
      <c r="O177" s="5"/>
    </row>
    <row r="178" spans="2:15" ht="15.75" customHeight="1" x14ac:dyDescent="0.3">
      <c r="B178" s="5"/>
      <c r="E178" s="5"/>
      <c r="I178" s="5"/>
      <c r="O178" s="5"/>
    </row>
    <row r="179" spans="2:15" ht="15.75" customHeight="1" x14ac:dyDescent="0.3">
      <c r="B179" s="5"/>
      <c r="E179" s="5"/>
      <c r="I179" s="5"/>
      <c r="O179" s="5"/>
    </row>
    <row r="180" spans="2:15" ht="15.75" customHeight="1" x14ac:dyDescent="0.3">
      <c r="B180" s="5"/>
      <c r="E180" s="5"/>
      <c r="I180" s="5"/>
      <c r="O180" s="5"/>
    </row>
    <row r="181" spans="2:15" ht="15.75" customHeight="1" x14ac:dyDescent="0.3">
      <c r="B181" s="5"/>
      <c r="E181" s="5"/>
      <c r="I181" s="5"/>
      <c r="O181" s="5"/>
    </row>
    <row r="182" spans="2:15" ht="15.75" customHeight="1" x14ac:dyDescent="0.3">
      <c r="B182" s="5"/>
      <c r="E182" s="5"/>
      <c r="I182" s="5"/>
      <c r="O182" s="5"/>
    </row>
    <row r="183" spans="2:15" ht="15.75" customHeight="1" x14ac:dyDescent="0.3">
      <c r="B183" s="5"/>
      <c r="E183" s="5"/>
      <c r="I183" s="5"/>
      <c r="O183" s="5"/>
    </row>
    <row r="184" spans="2:15" ht="15.75" customHeight="1" x14ac:dyDescent="0.3">
      <c r="B184" s="5"/>
      <c r="E184" s="5"/>
      <c r="I184" s="5"/>
      <c r="O184" s="5"/>
    </row>
    <row r="185" spans="2:15" ht="15.75" customHeight="1" x14ac:dyDescent="0.3">
      <c r="B185" s="5"/>
      <c r="E185" s="5"/>
      <c r="I185" s="5"/>
      <c r="O185" s="5"/>
    </row>
    <row r="186" spans="2:15" ht="15.75" customHeight="1" x14ac:dyDescent="0.3">
      <c r="B186" s="5"/>
      <c r="E186" s="5"/>
      <c r="I186" s="5"/>
      <c r="O186" s="5"/>
    </row>
    <row r="187" spans="2:15" ht="15.75" customHeight="1" x14ac:dyDescent="0.3">
      <c r="B187" s="5"/>
      <c r="E187" s="5"/>
      <c r="I187" s="5"/>
      <c r="O187" s="5"/>
    </row>
    <row r="188" spans="2:15" ht="15.75" customHeight="1" x14ac:dyDescent="0.3">
      <c r="B188" s="5"/>
      <c r="E188" s="5"/>
      <c r="I188" s="5"/>
      <c r="O188" s="5"/>
    </row>
    <row r="189" spans="2:15" ht="15.75" customHeight="1" x14ac:dyDescent="0.3">
      <c r="B189" s="5"/>
      <c r="E189" s="5"/>
      <c r="I189" s="5"/>
      <c r="O189" s="5"/>
    </row>
    <row r="190" spans="2:15" ht="15.75" customHeight="1" x14ac:dyDescent="0.3">
      <c r="B190" s="5"/>
      <c r="E190" s="5"/>
      <c r="I190" s="5"/>
      <c r="O190" s="5"/>
    </row>
    <row r="191" spans="2:15" ht="15.75" customHeight="1" x14ac:dyDescent="0.3">
      <c r="B191" s="5"/>
      <c r="E191" s="5"/>
      <c r="I191" s="5"/>
      <c r="O191" s="5"/>
    </row>
    <row r="192" spans="2:15" ht="15.75" customHeight="1" x14ac:dyDescent="0.3">
      <c r="B192" s="5"/>
      <c r="E192" s="5"/>
      <c r="I192" s="5"/>
      <c r="O192" s="5"/>
    </row>
    <row r="193" spans="2:15" ht="15.75" customHeight="1" x14ac:dyDescent="0.3">
      <c r="B193" s="5"/>
      <c r="E193" s="5"/>
      <c r="I193" s="5"/>
      <c r="O193" s="5"/>
    </row>
    <row r="194" spans="2:15" ht="15.75" customHeight="1" x14ac:dyDescent="0.3">
      <c r="B194" s="5"/>
      <c r="E194" s="5"/>
      <c r="I194" s="5"/>
      <c r="O194" s="5"/>
    </row>
    <row r="195" spans="2:15" ht="15.75" customHeight="1" x14ac:dyDescent="0.3">
      <c r="B195" s="5"/>
      <c r="E195" s="5"/>
      <c r="I195" s="5"/>
      <c r="O195" s="5"/>
    </row>
    <row r="196" spans="2:15" ht="15.75" customHeight="1" x14ac:dyDescent="0.3">
      <c r="B196" s="5"/>
      <c r="E196" s="5"/>
      <c r="I196" s="5"/>
      <c r="O196" s="5"/>
    </row>
    <row r="197" spans="2:15" ht="15.75" customHeight="1" x14ac:dyDescent="0.3">
      <c r="B197" s="5"/>
      <c r="E197" s="5"/>
      <c r="I197" s="5"/>
      <c r="O197" s="5"/>
    </row>
    <row r="198" spans="2:15" ht="15.75" customHeight="1" x14ac:dyDescent="0.3">
      <c r="B198" s="5"/>
      <c r="E198" s="5"/>
      <c r="I198" s="5"/>
      <c r="O198" s="5"/>
    </row>
    <row r="199" spans="2:15" ht="15.75" customHeight="1" x14ac:dyDescent="0.3">
      <c r="B199" s="5"/>
      <c r="E199" s="5"/>
      <c r="I199" s="5"/>
      <c r="O199" s="5"/>
    </row>
    <row r="200" spans="2:15" ht="15.75" customHeight="1" x14ac:dyDescent="0.3">
      <c r="B200" s="5"/>
      <c r="E200" s="5"/>
      <c r="I200" s="5"/>
      <c r="O200" s="5"/>
    </row>
    <row r="201" spans="2:15" ht="15.75" customHeight="1" x14ac:dyDescent="0.3">
      <c r="B201" s="5"/>
      <c r="E201" s="5"/>
      <c r="I201" s="5"/>
      <c r="O201" s="5"/>
    </row>
    <row r="202" spans="2:15" ht="15.75" customHeight="1" x14ac:dyDescent="0.3">
      <c r="B202" s="5"/>
      <c r="E202" s="5"/>
      <c r="I202" s="5"/>
      <c r="O202" s="5"/>
    </row>
    <row r="203" spans="2:15" ht="15.75" customHeight="1" x14ac:dyDescent="0.3">
      <c r="B203" s="5"/>
      <c r="E203" s="5"/>
      <c r="I203" s="5"/>
      <c r="O203" s="5"/>
    </row>
    <row r="204" spans="2:15" ht="15.75" customHeight="1" x14ac:dyDescent="0.3">
      <c r="B204" s="5"/>
      <c r="E204" s="5"/>
      <c r="I204" s="5"/>
      <c r="O204" s="5"/>
    </row>
    <row r="205" spans="2:15" ht="15.75" customHeight="1" x14ac:dyDescent="0.3">
      <c r="B205" s="5"/>
      <c r="E205" s="5"/>
      <c r="I205" s="5"/>
      <c r="O205" s="5"/>
    </row>
    <row r="206" spans="2:15" ht="15.75" customHeight="1" x14ac:dyDescent="0.3">
      <c r="B206" s="5"/>
      <c r="E206" s="5"/>
      <c r="I206" s="5"/>
      <c r="O206" s="5"/>
    </row>
    <row r="207" spans="2:15" ht="15.75" customHeight="1" x14ac:dyDescent="0.3">
      <c r="B207" s="5"/>
      <c r="E207" s="5"/>
      <c r="I207" s="5"/>
      <c r="O207" s="5"/>
    </row>
    <row r="208" spans="2:15" ht="15.75" customHeight="1" x14ac:dyDescent="0.3">
      <c r="B208" s="5"/>
      <c r="E208" s="5"/>
      <c r="I208" s="5"/>
      <c r="O208" s="5"/>
    </row>
    <row r="209" spans="2:15" ht="15.75" customHeight="1" x14ac:dyDescent="0.3">
      <c r="B209" s="5"/>
      <c r="E209" s="5"/>
      <c r="I209" s="5"/>
      <c r="O209" s="5"/>
    </row>
    <row r="210" spans="2:15" ht="15.75" customHeight="1" x14ac:dyDescent="0.3">
      <c r="B210" s="5"/>
      <c r="E210" s="5"/>
      <c r="I210" s="5"/>
      <c r="O210" s="5"/>
    </row>
    <row r="211" spans="2:15" ht="15.75" customHeight="1" x14ac:dyDescent="0.3">
      <c r="B211" s="5"/>
      <c r="E211" s="5"/>
      <c r="I211" s="5"/>
      <c r="O211" s="5"/>
    </row>
    <row r="212" spans="2:15" ht="15.75" customHeight="1" x14ac:dyDescent="0.3">
      <c r="B212" s="5"/>
      <c r="E212" s="5"/>
      <c r="I212" s="5"/>
      <c r="O212" s="5"/>
    </row>
    <row r="213" spans="2:15" ht="15.75" customHeight="1" x14ac:dyDescent="0.3">
      <c r="B213" s="5"/>
      <c r="E213" s="5"/>
      <c r="I213" s="5"/>
      <c r="O213" s="5"/>
    </row>
    <row r="214" spans="2:15" ht="15.75" customHeight="1" x14ac:dyDescent="0.3">
      <c r="B214" s="5"/>
      <c r="E214" s="5"/>
      <c r="I214" s="5"/>
      <c r="O214" s="5"/>
    </row>
    <row r="215" spans="2:15" ht="15.75" customHeight="1" x14ac:dyDescent="0.3">
      <c r="B215" s="5"/>
      <c r="E215" s="5"/>
      <c r="I215" s="5"/>
      <c r="O215" s="5"/>
    </row>
    <row r="216" spans="2:15" ht="15.75" customHeight="1" x14ac:dyDescent="0.3">
      <c r="B216" s="5"/>
      <c r="E216" s="5"/>
      <c r="I216" s="5"/>
      <c r="O216" s="5"/>
    </row>
    <row r="217" spans="2:15" ht="15.75" customHeight="1" x14ac:dyDescent="0.3">
      <c r="B217" s="5"/>
      <c r="E217" s="5"/>
      <c r="I217" s="5"/>
      <c r="O217" s="5"/>
    </row>
    <row r="218" spans="2:15" ht="15.75" customHeight="1" x14ac:dyDescent="0.3">
      <c r="B218" s="5"/>
      <c r="E218" s="5"/>
      <c r="I218" s="5"/>
      <c r="O218" s="5"/>
    </row>
    <row r="219" spans="2:15" ht="15.75" customHeight="1" x14ac:dyDescent="0.3">
      <c r="B219" s="5"/>
      <c r="E219" s="5"/>
      <c r="I219" s="5"/>
      <c r="O219" s="5"/>
    </row>
    <row r="220" spans="2:15" ht="15.75" customHeight="1" x14ac:dyDescent="0.3">
      <c r="B220" s="5"/>
      <c r="E220" s="5"/>
      <c r="I220" s="5"/>
      <c r="O220" s="5"/>
    </row>
    <row r="221" spans="2:15" ht="15.75" customHeight="1" x14ac:dyDescent="0.3">
      <c r="B221" s="7"/>
      <c r="E221" s="7"/>
      <c r="I221" s="7"/>
      <c r="O221" s="7"/>
    </row>
    <row r="222" spans="2:15" ht="15.75" customHeight="1" x14ac:dyDescent="0.3">
      <c r="B222" s="7"/>
      <c r="E222" s="7"/>
      <c r="I222" s="7"/>
      <c r="O222" s="7"/>
    </row>
    <row r="223" spans="2:15" ht="15.75" customHeight="1" x14ac:dyDescent="0.3">
      <c r="B223" s="7"/>
      <c r="E223" s="7"/>
      <c r="I223" s="7"/>
      <c r="O223" s="7"/>
    </row>
    <row r="224" spans="2:15" ht="15.75" customHeight="1" x14ac:dyDescent="0.3">
      <c r="B224" s="7"/>
      <c r="E224" s="7"/>
      <c r="I224" s="7"/>
      <c r="O224" s="7"/>
    </row>
    <row r="225" spans="2:15" ht="15.75" customHeight="1" x14ac:dyDescent="0.3">
      <c r="B225" s="7"/>
      <c r="E225" s="7"/>
      <c r="I225" s="7"/>
      <c r="O225" s="7"/>
    </row>
    <row r="226" spans="2:15" ht="15.75" customHeight="1" x14ac:dyDescent="0.3">
      <c r="B226" s="7"/>
      <c r="E226" s="7"/>
      <c r="I226" s="7"/>
      <c r="O226" s="7"/>
    </row>
    <row r="227" spans="2:15" ht="15.75" customHeight="1" x14ac:dyDescent="0.3">
      <c r="B227" s="7"/>
      <c r="E227" s="7"/>
      <c r="I227" s="7"/>
      <c r="O227" s="7"/>
    </row>
    <row r="228" spans="2:15" ht="15.75" customHeight="1" x14ac:dyDescent="0.3">
      <c r="B228" s="7"/>
      <c r="E228" s="7"/>
      <c r="I228" s="7"/>
      <c r="O228" s="7"/>
    </row>
    <row r="229" spans="2:15" ht="15.75" customHeight="1" x14ac:dyDescent="0.3">
      <c r="B229" s="7"/>
      <c r="E229" s="7"/>
      <c r="I229" s="7"/>
      <c r="O229" s="7"/>
    </row>
    <row r="230" spans="2:15" ht="15.75" customHeight="1" x14ac:dyDescent="0.3">
      <c r="B230" s="7"/>
      <c r="E230" s="7"/>
      <c r="I230" s="7"/>
      <c r="O230" s="7"/>
    </row>
    <row r="231" spans="2:15" ht="15.75" customHeight="1" x14ac:dyDescent="0.3">
      <c r="B231" s="7"/>
      <c r="E231" s="7"/>
      <c r="I231" s="7"/>
      <c r="O231" s="7"/>
    </row>
    <row r="232" spans="2:15" ht="15.75" customHeight="1" x14ac:dyDescent="0.3">
      <c r="B232" s="7"/>
      <c r="E232" s="7"/>
      <c r="I232" s="7"/>
      <c r="O232" s="7"/>
    </row>
    <row r="233" spans="2:15" ht="15.75" customHeight="1" x14ac:dyDescent="0.3">
      <c r="B233" s="7"/>
      <c r="E233" s="7"/>
      <c r="I233" s="7"/>
      <c r="O233" s="7"/>
    </row>
    <row r="234" spans="2:15" ht="15.75" customHeight="1" x14ac:dyDescent="0.3">
      <c r="B234" s="7"/>
      <c r="E234" s="7"/>
      <c r="I234" s="7"/>
      <c r="O234" s="7"/>
    </row>
    <row r="235" spans="2:15" ht="15.75" customHeight="1" x14ac:dyDescent="0.3">
      <c r="B235" s="7"/>
      <c r="E235" s="7"/>
      <c r="I235" s="7"/>
      <c r="O235" s="7"/>
    </row>
    <row r="236" spans="2:15" ht="15.75" customHeight="1" x14ac:dyDescent="0.3">
      <c r="B236" s="7"/>
      <c r="E236" s="7"/>
      <c r="I236" s="7"/>
      <c r="O236" s="7"/>
    </row>
    <row r="237" spans="2:15" ht="15.75" customHeight="1" x14ac:dyDescent="0.3">
      <c r="B237" s="7"/>
      <c r="E237" s="7"/>
      <c r="I237" s="7"/>
      <c r="O237" s="7"/>
    </row>
    <row r="238" spans="2:15" ht="15.75" customHeight="1" x14ac:dyDescent="0.3">
      <c r="B238" s="7"/>
      <c r="E238" s="7"/>
      <c r="I238" s="7"/>
      <c r="O238" s="7"/>
    </row>
    <row r="239" spans="2:15" ht="15.75" customHeight="1" x14ac:dyDescent="0.3">
      <c r="B239" s="7"/>
      <c r="E239" s="7"/>
      <c r="I239" s="7"/>
      <c r="O239" s="7"/>
    </row>
    <row r="240" spans="2:15" ht="15.75" customHeight="1" x14ac:dyDescent="0.3">
      <c r="B240" s="7"/>
      <c r="E240" s="7"/>
      <c r="I240" s="7"/>
      <c r="O240" s="7"/>
    </row>
    <row r="241" spans="2:15" ht="15.75" customHeight="1" x14ac:dyDescent="0.3">
      <c r="B241" s="7"/>
      <c r="E241" s="7"/>
      <c r="I241" s="7"/>
      <c r="O241" s="7"/>
    </row>
    <row r="242" spans="2:15" ht="15.75" customHeight="1" x14ac:dyDescent="0.3">
      <c r="B242" s="7"/>
      <c r="E242" s="7"/>
      <c r="I242" s="7"/>
      <c r="O242" s="7"/>
    </row>
    <row r="243" spans="2:15" ht="15.75" customHeight="1" x14ac:dyDescent="0.3">
      <c r="B243" s="7"/>
      <c r="E243" s="7"/>
      <c r="I243" s="7"/>
      <c r="O243" s="7"/>
    </row>
    <row r="244" spans="2:15" ht="15.75" customHeight="1" x14ac:dyDescent="0.3">
      <c r="B244" s="7"/>
      <c r="E244" s="7"/>
      <c r="I244" s="7"/>
      <c r="O244" s="7"/>
    </row>
    <row r="245" spans="2:15" ht="15.75" customHeight="1" x14ac:dyDescent="0.3">
      <c r="B245" s="7"/>
      <c r="E245" s="7"/>
      <c r="I245" s="7"/>
      <c r="O245" s="7"/>
    </row>
    <row r="246" spans="2:15" ht="15.75" customHeight="1" x14ac:dyDescent="0.3">
      <c r="B246" s="7"/>
      <c r="E246" s="7"/>
      <c r="I246" s="7"/>
      <c r="O246" s="7"/>
    </row>
    <row r="247" spans="2:15" ht="15.75" customHeight="1" x14ac:dyDescent="0.3">
      <c r="B247" s="7"/>
      <c r="E247" s="7"/>
      <c r="I247" s="7"/>
      <c r="O247" s="7"/>
    </row>
    <row r="248" spans="2:15" ht="15.75" customHeight="1" x14ac:dyDescent="0.3">
      <c r="B248" s="7"/>
      <c r="E248" s="7"/>
      <c r="I248" s="7"/>
      <c r="O248" s="7"/>
    </row>
    <row r="249" spans="2:15" ht="15.75" customHeight="1" x14ac:dyDescent="0.3">
      <c r="B249" s="7"/>
      <c r="E249" s="7"/>
      <c r="I249" s="7"/>
      <c r="O249" s="7"/>
    </row>
    <row r="250" spans="2:15" ht="15.75" customHeight="1" x14ac:dyDescent="0.3">
      <c r="B250" s="7"/>
      <c r="E250" s="7"/>
      <c r="I250" s="7"/>
      <c r="O250" s="7"/>
    </row>
    <row r="251" spans="2:15" ht="15.75" customHeight="1" x14ac:dyDescent="0.3">
      <c r="B251" s="7"/>
      <c r="E251" s="7"/>
      <c r="I251" s="7"/>
      <c r="O251" s="7"/>
    </row>
    <row r="252" spans="2:15" ht="15.75" customHeight="1" x14ac:dyDescent="0.3">
      <c r="B252" s="7"/>
      <c r="E252" s="7"/>
      <c r="I252" s="7"/>
      <c r="O252" s="7"/>
    </row>
    <row r="253" spans="2:15" ht="15.75" customHeight="1" x14ac:dyDescent="0.3">
      <c r="B253" s="7"/>
      <c r="E253" s="7"/>
      <c r="I253" s="7"/>
      <c r="O253" s="7"/>
    </row>
    <row r="254" spans="2:15" ht="15.75" customHeight="1" x14ac:dyDescent="0.3">
      <c r="B254" s="7"/>
      <c r="E254" s="7"/>
      <c r="I254" s="7"/>
      <c r="O254" s="7"/>
    </row>
    <row r="255" spans="2:15" ht="15.75" customHeight="1" x14ac:dyDescent="0.3">
      <c r="B255" s="7"/>
      <c r="E255" s="7"/>
      <c r="I255" s="7"/>
      <c r="O255" s="7"/>
    </row>
    <row r="256" spans="2:15" ht="15.75" customHeight="1" x14ac:dyDescent="0.3">
      <c r="B256" s="7"/>
      <c r="E256" s="7"/>
      <c r="I256" s="7"/>
      <c r="O256" s="7"/>
    </row>
    <row r="257" spans="2:15" ht="15.75" customHeight="1" x14ac:dyDescent="0.3">
      <c r="B257" s="7"/>
      <c r="E257" s="7"/>
      <c r="I257" s="7"/>
      <c r="O257" s="7"/>
    </row>
    <row r="258" spans="2:15" ht="15.75" customHeight="1" x14ac:dyDescent="0.3">
      <c r="B258" s="7"/>
      <c r="E258" s="7"/>
      <c r="I258" s="7"/>
      <c r="O258" s="7"/>
    </row>
    <row r="259" spans="2:15" ht="15.75" customHeight="1" x14ac:dyDescent="0.3">
      <c r="B259" s="7"/>
      <c r="E259" s="7"/>
      <c r="I259" s="7"/>
      <c r="O259" s="7"/>
    </row>
    <row r="260" spans="2:15" ht="15.75" customHeight="1" x14ac:dyDescent="0.3">
      <c r="B260" s="7"/>
      <c r="E260" s="7"/>
      <c r="I260" s="7"/>
      <c r="O260" s="7"/>
    </row>
    <row r="261" spans="2:15" ht="15.75" customHeight="1" x14ac:dyDescent="0.3">
      <c r="B261" s="7"/>
      <c r="E261" s="7"/>
      <c r="I261" s="7"/>
      <c r="O261" s="7"/>
    </row>
    <row r="262" spans="2:15" ht="15.75" customHeight="1" x14ac:dyDescent="0.3">
      <c r="B262" s="7"/>
      <c r="E262" s="7"/>
      <c r="I262" s="7"/>
      <c r="O262" s="7"/>
    </row>
    <row r="263" spans="2:15" ht="15.75" customHeight="1" x14ac:dyDescent="0.3">
      <c r="B263" s="7"/>
      <c r="E263" s="7"/>
      <c r="I263" s="7"/>
      <c r="O263" s="7"/>
    </row>
    <row r="264" spans="2:15" ht="15.75" customHeight="1" x14ac:dyDescent="0.3">
      <c r="B264" s="7"/>
      <c r="E264" s="7"/>
      <c r="I264" s="7"/>
      <c r="O264" s="7"/>
    </row>
    <row r="265" spans="2:15" ht="15.75" customHeight="1" x14ac:dyDescent="0.3">
      <c r="B265" s="7"/>
      <c r="E265" s="7"/>
      <c r="I265" s="7"/>
      <c r="O265" s="7"/>
    </row>
    <row r="266" spans="2:15" ht="15.75" customHeight="1" x14ac:dyDescent="0.3">
      <c r="B266" s="7"/>
      <c r="E266" s="7"/>
      <c r="I266" s="7"/>
      <c r="O266" s="7"/>
    </row>
    <row r="267" spans="2:15" ht="15.75" customHeight="1" x14ac:dyDescent="0.3">
      <c r="B267" s="7"/>
      <c r="E267" s="7"/>
      <c r="I267" s="7"/>
      <c r="O267" s="7"/>
    </row>
    <row r="268" spans="2:15" ht="15.75" customHeight="1" x14ac:dyDescent="0.3">
      <c r="B268" s="7"/>
      <c r="E268" s="7"/>
      <c r="I268" s="7"/>
      <c r="O268" s="7"/>
    </row>
    <row r="269" spans="2:15" ht="15.75" customHeight="1" x14ac:dyDescent="0.3">
      <c r="B269" s="7"/>
      <c r="E269" s="7"/>
      <c r="I269" s="7"/>
      <c r="O269" s="7"/>
    </row>
    <row r="270" spans="2:15" ht="15.75" customHeight="1" x14ac:dyDescent="0.3">
      <c r="B270" s="7"/>
      <c r="E270" s="7"/>
      <c r="I270" s="7"/>
      <c r="O270" s="7"/>
    </row>
    <row r="271" spans="2:15" ht="15.75" customHeight="1" x14ac:dyDescent="0.3">
      <c r="B271" s="7"/>
      <c r="E271" s="7"/>
      <c r="I271" s="7"/>
      <c r="O271" s="7"/>
    </row>
    <row r="272" spans="2:15" ht="15.75" customHeight="1" x14ac:dyDescent="0.3">
      <c r="B272" s="7"/>
      <c r="E272" s="7"/>
      <c r="I272" s="7"/>
      <c r="O272" s="7"/>
    </row>
    <row r="273" spans="2:15" ht="15.75" customHeight="1" x14ac:dyDescent="0.3">
      <c r="B273" s="7"/>
      <c r="E273" s="7"/>
      <c r="I273" s="7"/>
      <c r="O273" s="7"/>
    </row>
    <row r="274" spans="2:15" ht="15.75" customHeight="1" x14ac:dyDescent="0.3">
      <c r="B274" s="7"/>
      <c r="E274" s="7"/>
      <c r="I274" s="7"/>
      <c r="O274" s="7"/>
    </row>
    <row r="275" spans="2:15" ht="15.75" customHeight="1" x14ac:dyDescent="0.3">
      <c r="B275" s="7"/>
      <c r="E275" s="7"/>
      <c r="I275" s="7"/>
      <c r="O275" s="7"/>
    </row>
    <row r="276" spans="2:15" ht="15.75" customHeight="1" x14ac:dyDescent="0.3">
      <c r="B276" s="7"/>
      <c r="E276" s="7"/>
      <c r="I276" s="7"/>
      <c r="O276" s="7"/>
    </row>
    <row r="277" spans="2:15" ht="15.75" customHeight="1" x14ac:dyDescent="0.3">
      <c r="B277" s="7"/>
      <c r="E277" s="7"/>
      <c r="I277" s="7"/>
      <c r="O277" s="7"/>
    </row>
    <row r="278" spans="2:15" ht="15.75" customHeight="1" x14ac:dyDescent="0.3">
      <c r="B278" s="7"/>
      <c r="E278" s="7"/>
      <c r="I278" s="7"/>
      <c r="O278" s="7"/>
    </row>
    <row r="279" spans="2:15" ht="15.75" customHeight="1" x14ac:dyDescent="0.3">
      <c r="B279" s="7"/>
      <c r="E279" s="7"/>
      <c r="I279" s="7"/>
      <c r="O279" s="7"/>
    </row>
    <row r="280" spans="2:15" ht="15.75" customHeight="1" x14ac:dyDescent="0.3">
      <c r="B280" s="7"/>
      <c r="E280" s="7"/>
      <c r="I280" s="7"/>
      <c r="O280" s="7"/>
    </row>
    <row r="281" spans="2:15" ht="15.75" customHeight="1" x14ac:dyDescent="0.3">
      <c r="B281" s="7"/>
      <c r="E281" s="7"/>
      <c r="I281" s="7"/>
      <c r="O281" s="7"/>
    </row>
    <row r="282" spans="2:15" ht="15.75" customHeight="1" x14ac:dyDescent="0.3">
      <c r="B282" s="7"/>
      <c r="E282" s="7"/>
      <c r="I282" s="7"/>
      <c r="O282" s="7"/>
    </row>
    <row r="283" spans="2:15" ht="15.75" customHeight="1" x14ac:dyDescent="0.3">
      <c r="B283" s="7"/>
      <c r="E283" s="7"/>
      <c r="I283" s="7"/>
      <c r="O283" s="7"/>
    </row>
    <row r="284" spans="2:15" ht="15.75" customHeight="1" x14ac:dyDescent="0.3">
      <c r="B284" s="7"/>
      <c r="E284" s="7"/>
      <c r="I284" s="7"/>
      <c r="O284" s="7"/>
    </row>
    <row r="285" spans="2:15" ht="15.75" customHeight="1" x14ac:dyDescent="0.3">
      <c r="B285" s="7"/>
      <c r="E285" s="7"/>
      <c r="I285" s="7"/>
      <c r="O285" s="7"/>
    </row>
    <row r="286" spans="2:15" ht="15.75" customHeight="1" x14ac:dyDescent="0.3">
      <c r="B286" s="7"/>
      <c r="E286" s="7"/>
      <c r="I286" s="7"/>
      <c r="O286" s="7"/>
    </row>
    <row r="287" spans="2:15" ht="15.75" customHeight="1" x14ac:dyDescent="0.3">
      <c r="B287" s="7"/>
      <c r="E287" s="7"/>
      <c r="I287" s="7"/>
      <c r="O287" s="7"/>
    </row>
    <row r="288" spans="2:15" ht="15.75" customHeight="1" x14ac:dyDescent="0.3">
      <c r="B288" s="7"/>
      <c r="E288" s="7"/>
      <c r="I288" s="7"/>
      <c r="O288" s="7"/>
    </row>
    <row r="289" spans="2:15" ht="15.75" customHeight="1" x14ac:dyDescent="0.3">
      <c r="B289" s="7"/>
      <c r="E289" s="7"/>
      <c r="I289" s="7"/>
      <c r="O289" s="7"/>
    </row>
    <row r="290" spans="2:15" ht="15.75" customHeight="1" x14ac:dyDescent="0.3">
      <c r="B290" s="7"/>
      <c r="E290" s="7"/>
      <c r="I290" s="7"/>
      <c r="O290" s="7"/>
    </row>
    <row r="291" spans="2:15" ht="15.75" customHeight="1" x14ac:dyDescent="0.3">
      <c r="B291" s="7"/>
      <c r="E291" s="7"/>
      <c r="I291" s="7"/>
      <c r="O291" s="7"/>
    </row>
    <row r="292" spans="2:15" ht="15.75" customHeight="1" x14ac:dyDescent="0.3">
      <c r="B292" s="7"/>
      <c r="E292" s="7"/>
      <c r="I292" s="7"/>
      <c r="O292" s="7"/>
    </row>
    <row r="293" spans="2:15" ht="15.75" customHeight="1" x14ac:dyDescent="0.3">
      <c r="B293" s="7"/>
      <c r="E293" s="7"/>
      <c r="I293" s="7"/>
      <c r="O293" s="7"/>
    </row>
    <row r="294" spans="2:15" ht="15.75" customHeight="1" x14ac:dyDescent="0.3">
      <c r="B294" s="7"/>
      <c r="E294" s="7"/>
      <c r="I294" s="7"/>
      <c r="O294" s="7"/>
    </row>
    <row r="295" spans="2:15" ht="15.75" customHeight="1" x14ac:dyDescent="0.3">
      <c r="B295" s="7"/>
      <c r="E295" s="7"/>
      <c r="I295" s="7"/>
      <c r="O295" s="7"/>
    </row>
    <row r="296" spans="2:15" ht="15.75" customHeight="1" x14ac:dyDescent="0.3">
      <c r="B296" s="7"/>
      <c r="E296" s="7"/>
      <c r="I296" s="7"/>
      <c r="O296" s="7"/>
    </row>
    <row r="297" spans="2:15" ht="15.75" customHeight="1" x14ac:dyDescent="0.3">
      <c r="B297" s="7"/>
      <c r="E297" s="7"/>
      <c r="I297" s="7"/>
      <c r="O297" s="7"/>
    </row>
    <row r="298" spans="2:15" ht="15.75" customHeight="1" x14ac:dyDescent="0.3">
      <c r="B298" s="7"/>
      <c r="E298" s="7"/>
      <c r="I298" s="7"/>
      <c r="O298" s="7"/>
    </row>
    <row r="299" spans="2:15" ht="15.75" customHeight="1" x14ac:dyDescent="0.3">
      <c r="B299" s="7"/>
      <c r="E299" s="7"/>
      <c r="I299" s="7"/>
      <c r="O299" s="7"/>
    </row>
    <row r="300" spans="2:15" ht="15.75" customHeight="1" x14ac:dyDescent="0.3">
      <c r="B300" s="7"/>
      <c r="E300" s="7"/>
      <c r="I300" s="7"/>
      <c r="O300" s="7"/>
    </row>
    <row r="301" spans="2:15" ht="15.75" customHeight="1" x14ac:dyDescent="0.3">
      <c r="B301" s="7"/>
      <c r="E301" s="7"/>
      <c r="I301" s="7"/>
      <c r="O301" s="7"/>
    </row>
    <row r="302" spans="2:15" ht="15.75" customHeight="1" x14ac:dyDescent="0.3">
      <c r="B302" s="7"/>
      <c r="E302" s="7"/>
      <c r="I302" s="7"/>
      <c r="O302" s="7"/>
    </row>
    <row r="303" spans="2:15" ht="15.75" customHeight="1" x14ac:dyDescent="0.3">
      <c r="B303" s="7"/>
      <c r="E303" s="7"/>
      <c r="I303" s="7"/>
      <c r="O303" s="7"/>
    </row>
    <row r="304" spans="2:15" ht="15.75" customHeight="1" x14ac:dyDescent="0.3">
      <c r="B304" s="7"/>
      <c r="E304" s="7"/>
      <c r="I304" s="7"/>
      <c r="O304" s="7"/>
    </row>
    <row r="305" spans="2:15" ht="15.75" customHeight="1" x14ac:dyDescent="0.3">
      <c r="B305" s="7"/>
      <c r="E305" s="7"/>
      <c r="I305" s="7"/>
      <c r="O305" s="7"/>
    </row>
    <row r="306" spans="2:15" ht="15.75" customHeight="1" x14ac:dyDescent="0.3">
      <c r="B306" s="7"/>
      <c r="E306" s="7"/>
      <c r="I306" s="7"/>
      <c r="O306" s="7"/>
    </row>
    <row r="307" spans="2:15" ht="15.75" customHeight="1" x14ac:dyDescent="0.3">
      <c r="B307" s="7"/>
      <c r="E307" s="7"/>
      <c r="I307" s="7"/>
      <c r="O307" s="7"/>
    </row>
    <row r="308" spans="2:15" ht="15.75" customHeight="1" x14ac:dyDescent="0.3">
      <c r="B308" s="7"/>
      <c r="E308" s="7"/>
      <c r="I308" s="7"/>
      <c r="O308" s="7"/>
    </row>
    <row r="309" spans="2:15" ht="15.75" customHeight="1" x14ac:dyDescent="0.3">
      <c r="B309" s="7"/>
      <c r="E309" s="7"/>
      <c r="I309" s="7"/>
      <c r="O309" s="7"/>
    </row>
    <row r="310" spans="2:15" ht="15.75" customHeight="1" x14ac:dyDescent="0.3">
      <c r="B310" s="7"/>
      <c r="E310" s="7"/>
      <c r="I310" s="7"/>
      <c r="O310" s="7"/>
    </row>
    <row r="311" spans="2:15" ht="15.75" customHeight="1" x14ac:dyDescent="0.3">
      <c r="B311" s="7"/>
      <c r="E311" s="7"/>
      <c r="I311" s="7"/>
      <c r="O311" s="7"/>
    </row>
    <row r="312" spans="2:15" ht="15.75" customHeight="1" x14ac:dyDescent="0.3">
      <c r="B312" s="7"/>
      <c r="E312" s="7"/>
      <c r="I312" s="7"/>
      <c r="O312" s="7"/>
    </row>
    <row r="313" spans="2:15" ht="15.75" customHeight="1" x14ac:dyDescent="0.3">
      <c r="B313" s="7"/>
      <c r="E313" s="7"/>
      <c r="I313" s="7"/>
      <c r="O313" s="7"/>
    </row>
    <row r="314" spans="2:15" ht="15.75" customHeight="1" x14ac:dyDescent="0.3">
      <c r="B314" s="7"/>
      <c r="E314" s="7"/>
      <c r="I314" s="7"/>
      <c r="O314" s="7"/>
    </row>
    <row r="315" spans="2:15" ht="15.75" customHeight="1" x14ac:dyDescent="0.3">
      <c r="B315" s="7"/>
      <c r="E315" s="7"/>
      <c r="I315" s="7"/>
      <c r="O315" s="7"/>
    </row>
    <row r="316" spans="2:15" ht="15.75" customHeight="1" x14ac:dyDescent="0.3">
      <c r="B316" s="7"/>
      <c r="E316" s="7"/>
      <c r="I316" s="7"/>
      <c r="O316" s="7"/>
    </row>
    <row r="317" spans="2:15" ht="15.75" customHeight="1" x14ac:dyDescent="0.3">
      <c r="B317" s="7"/>
      <c r="E317" s="7"/>
      <c r="I317" s="7"/>
      <c r="O317" s="7"/>
    </row>
    <row r="318" spans="2:15" ht="15.75" customHeight="1" x14ac:dyDescent="0.3">
      <c r="B318" s="7"/>
      <c r="E318" s="7"/>
      <c r="I318" s="7"/>
      <c r="O318" s="7"/>
    </row>
    <row r="319" spans="2:15" ht="15.75" customHeight="1" x14ac:dyDescent="0.3">
      <c r="B319" s="7"/>
      <c r="E319" s="7"/>
      <c r="I319" s="7"/>
      <c r="O319" s="7"/>
    </row>
    <row r="320" spans="2:15" ht="15.75" customHeight="1" x14ac:dyDescent="0.3">
      <c r="B320" s="7"/>
      <c r="E320" s="7"/>
      <c r="I320" s="7"/>
      <c r="O320" s="7"/>
    </row>
    <row r="321" spans="2:15" ht="15.75" customHeight="1" x14ac:dyDescent="0.3">
      <c r="B321" s="7"/>
      <c r="E321" s="7"/>
      <c r="I321" s="7"/>
      <c r="O321" s="7"/>
    </row>
    <row r="322" spans="2:15" ht="15.75" customHeight="1" x14ac:dyDescent="0.3">
      <c r="B322" s="7"/>
      <c r="E322" s="7"/>
      <c r="I322" s="7"/>
      <c r="O322" s="7"/>
    </row>
    <row r="323" spans="2:15" ht="15.75" customHeight="1" x14ac:dyDescent="0.3">
      <c r="B323" s="7"/>
      <c r="E323" s="7"/>
      <c r="I323" s="7"/>
      <c r="O323" s="7"/>
    </row>
    <row r="324" spans="2:15" ht="15.75" customHeight="1" x14ac:dyDescent="0.3">
      <c r="B324" s="7"/>
      <c r="E324" s="7"/>
      <c r="I324" s="7"/>
      <c r="O324" s="7"/>
    </row>
    <row r="325" spans="2:15" ht="15.75" customHeight="1" x14ac:dyDescent="0.3">
      <c r="B325" s="7"/>
      <c r="E325" s="7"/>
      <c r="I325" s="7"/>
      <c r="O325" s="7"/>
    </row>
    <row r="326" spans="2:15" ht="15.75" customHeight="1" x14ac:dyDescent="0.3">
      <c r="B326" s="7"/>
      <c r="E326" s="7"/>
      <c r="I326" s="7"/>
      <c r="O326" s="7"/>
    </row>
    <row r="327" spans="2:15" ht="15.75" customHeight="1" x14ac:dyDescent="0.3">
      <c r="B327" s="7"/>
      <c r="E327" s="7"/>
      <c r="I327" s="7"/>
      <c r="O327" s="7"/>
    </row>
    <row r="328" spans="2:15" ht="15.75" customHeight="1" x14ac:dyDescent="0.3">
      <c r="B328" s="7"/>
      <c r="E328" s="7"/>
      <c r="I328" s="7"/>
      <c r="O328" s="7"/>
    </row>
    <row r="329" spans="2:15" ht="15.75" customHeight="1" x14ac:dyDescent="0.3">
      <c r="B329" s="7"/>
      <c r="E329" s="7"/>
      <c r="I329" s="7"/>
      <c r="O329" s="7"/>
    </row>
    <row r="330" spans="2:15" ht="15.75" customHeight="1" x14ac:dyDescent="0.3">
      <c r="B330" s="7"/>
      <c r="E330" s="7"/>
      <c r="I330" s="7"/>
      <c r="O330" s="7"/>
    </row>
    <row r="331" spans="2:15" ht="15.75" customHeight="1" x14ac:dyDescent="0.3">
      <c r="B331" s="7"/>
      <c r="E331" s="7"/>
      <c r="I331" s="7"/>
      <c r="O331" s="7"/>
    </row>
    <row r="332" spans="2:15" ht="15.75" customHeight="1" x14ac:dyDescent="0.3">
      <c r="B332" s="7"/>
      <c r="E332" s="7"/>
      <c r="I332" s="7"/>
      <c r="O332" s="7"/>
    </row>
    <row r="333" spans="2:15" ht="15.75" customHeight="1" x14ac:dyDescent="0.3">
      <c r="B333" s="7"/>
      <c r="E333" s="7"/>
      <c r="I333" s="7"/>
      <c r="O333" s="7"/>
    </row>
    <row r="334" spans="2:15" ht="15.75" customHeight="1" x14ac:dyDescent="0.3">
      <c r="B334" s="7"/>
      <c r="E334" s="7"/>
      <c r="I334" s="7"/>
      <c r="O334" s="7"/>
    </row>
    <row r="335" spans="2:15" ht="15.75" customHeight="1" x14ac:dyDescent="0.3">
      <c r="B335" s="7"/>
      <c r="E335" s="7"/>
      <c r="I335" s="7"/>
      <c r="O335" s="7"/>
    </row>
    <row r="336" spans="2:15" ht="15.75" customHeight="1" x14ac:dyDescent="0.3">
      <c r="B336" s="7"/>
      <c r="E336" s="7"/>
      <c r="I336" s="7"/>
      <c r="O336" s="7"/>
    </row>
    <row r="337" spans="2:15" ht="15.75" customHeight="1" x14ac:dyDescent="0.3">
      <c r="B337" s="7"/>
      <c r="E337" s="7"/>
      <c r="I337" s="7"/>
      <c r="O337" s="7"/>
    </row>
    <row r="338" spans="2:15" ht="15.75" customHeight="1" x14ac:dyDescent="0.3">
      <c r="B338" s="7"/>
      <c r="E338" s="7"/>
      <c r="I338" s="7"/>
      <c r="O338" s="7"/>
    </row>
    <row r="339" spans="2:15" ht="15.75" customHeight="1" x14ac:dyDescent="0.3">
      <c r="B339" s="7"/>
      <c r="E339" s="7"/>
      <c r="I339" s="7"/>
      <c r="O339" s="7"/>
    </row>
    <row r="340" spans="2:15" ht="15.75" customHeight="1" x14ac:dyDescent="0.3">
      <c r="B340" s="7"/>
      <c r="E340" s="7"/>
      <c r="I340" s="7"/>
      <c r="O340" s="7"/>
    </row>
    <row r="341" spans="2:15" ht="15.75" customHeight="1" x14ac:dyDescent="0.3">
      <c r="B341" s="7"/>
      <c r="E341" s="7"/>
      <c r="I341" s="7"/>
      <c r="O341" s="7"/>
    </row>
    <row r="342" spans="2:15" ht="15.75" customHeight="1" x14ac:dyDescent="0.3">
      <c r="B342" s="7"/>
      <c r="E342" s="7"/>
      <c r="I342" s="7"/>
      <c r="O342" s="7"/>
    </row>
    <row r="343" spans="2:15" ht="15.75" customHeight="1" x14ac:dyDescent="0.3">
      <c r="B343" s="7"/>
      <c r="E343" s="7"/>
      <c r="I343" s="7"/>
      <c r="O343" s="7"/>
    </row>
    <row r="344" spans="2:15" ht="15.75" customHeight="1" x14ac:dyDescent="0.3">
      <c r="B344" s="7"/>
      <c r="E344" s="7"/>
      <c r="I344" s="7"/>
      <c r="O344" s="7"/>
    </row>
    <row r="345" spans="2:15" ht="15.75" customHeight="1" x14ac:dyDescent="0.3">
      <c r="B345" s="7"/>
      <c r="E345" s="7"/>
      <c r="I345" s="7"/>
      <c r="O345" s="7"/>
    </row>
    <row r="346" spans="2:15" ht="15.75" customHeight="1" x14ac:dyDescent="0.3">
      <c r="B346" s="7"/>
      <c r="E346" s="7"/>
      <c r="I346" s="7"/>
      <c r="O346" s="7"/>
    </row>
    <row r="347" spans="2:15" ht="15.75" customHeight="1" x14ac:dyDescent="0.3">
      <c r="B347" s="7"/>
      <c r="E347" s="7"/>
      <c r="I347" s="7"/>
      <c r="O347" s="7"/>
    </row>
    <row r="348" spans="2:15" ht="15.75" customHeight="1" x14ac:dyDescent="0.3">
      <c r="B348" s="7"/>
      <c r="E348" s="7"/>
      <c r="I348" s="7"/>
      <c r="O348" s="7"/>
    </row>
    <row r="349" spans="2:15" ht="15.75" customHeight="1" x14ac:dyDescent="0.3">
      <c r="B349" s="7"/>
      <c r="E349" s="7"/>
      <c r="I349" s="7"/>
      <c r="O349" s="7"/>
    </row>
    <row r="350" spans="2:15" ht="15.75" customHeight="1" x14ac:dyDescent="0.3">
      <c r="B350" s="7"/>
      <c r="E350" s="7"/>
      <c r="I350" s="7"/>
      <c r="O350" s="7"/>
    </row>
    <row r="351" spans="2:15" ht="15.75" customHeight="1" x14ac:dyDescent="0.3">
      <c r="B351" s="7"/>
      <c r="E351" s="7"/>
      <c r="I351" s="7"/>
      <c r="O351" s="7"/>
    </row>
    <row r="352" spans="2:15" ht="15.75" customHeight="1" x14ac:dyDescent="0.3">
      <c r="B352" s="7"/>
      <c r="E352" s="7"/>
      <c r="I352" s="7"/>
      <c r="O352" s="7"/>
    </row>
    <row r="353" spans="2:15" ht="15.75" customHeight="1" x14ac:dyDescent="0.3">
      <c r="B353" s="7"/>
      <c r="E353" s="7"/>
      <c r="I353" s="7"/>
      <c r="O353" s="7"/>
    </row>
    <row r="354" spans="2:15" ht="15.75" customHeight="1" x14ac:dyDescent="0.3">
      <c r="B354" s="7"/>
      <c r="E354" s="7"/>
      <c r="I354" s="7"/>
      <c r="O354" s="7"/>
    </row>
    <row r="355" spans="2:15" ht="15.75" customHeight="1" x14ac:dyDescent="0.3">
      <c r="B355" s="7"/>
      <c r="E355" s="7"/>
      <c r="I355" s="7"/>
      <c r="O355" s="7"/>
    </row>
    <row r="356" spans="2:15" ht="15.75" customHeight="1" x14ac:dyDescent="0.3">
      <c r="B356" s="7"/>
      <c r="E356" s="7"/>
      <c r="I356" s="7"/>
      <c r="O356" s="7"/>
    </row>
    <row r="357" spans="2:15" ht="15.75" customHeight="1" x14ac:dyDescent="0.3">
      <c r="B357" s="7"/>
      <c r="E357" s="7"/>
      <c r="I357" s="7"/>
      <c r="O357" s="7"/>
    </row>
    <row r="358" spans="2:15" ht="15.75" customHeight="1" x14ac:dyDescent="0.3">
      <c r="B358" s="7"/>
      <c r="E358" s="7"/>
      <c r="I358" s="7"/>
      <c r="O358" s="7"/>
    </row>
    <row r="359" spans="2:15" ht="15.75" customHeight="1" x14ac:dyDescent="0.3">
      <c r="B359" s="7"/>
      <c r="E359" s="7"/>
      <c r="I359" s="7"/>
      <c r="O359" s="7"/>
    </row>
    <row r="360" spans="2:15" ht="15.75" customHeight="1" x14ac:dyDescent="0.3">
      <c r="B360" s="7"/>
      <c r="E360" s="7"/>
      <c r="I360" s="7"/>
      <c r="O360" s="7"/>
    </row>
    <row r="361" spans="2:15" ht="15.75" customHeight="1" x14ac:dyDescent="0.3">
      <c r="B361" s="7"/>
      <c r="E361" s="7"/>
      <c r="I361" s="7"/>
      <c r="O361" s="7"/>
    </row>
    <row r="362" spans="2:15" ht="15.75" customHeight="1" x14ac:dyDescent="0.3">
      <c r="B362" s="7"/>
      <c r="E362" s="7"/>
      <c r="I362" s="7"/>
      <c r="O362" s="7"/>
    </row>
    <row r="363" spans="2:15" ht="15.75" customHeight="1" x14ac:dyDescent="0.3">
      <c r="B363" s="7"/>
      <c r="E363" s="7"/>
      <c r="I363" s="7"/>
      <c r="O363" s="7"/>
    </row>
    <row r="364" spans="2:15" ht="15.75" customHeight="1" x14ac:dyDescent="0.3">
      <c r="B364" s="7"/>
      <c r="E364" s="7"/>
      <c r="I364" s="7"/>
      <c r="O364" s="7"/>
    </row>
    <row r="365" spans="2:15" ht="15.75" customHeight="1" x14ac:dyDescent="0.3">
      <c r="B365" s="7"/>
      <c r="E365" s="7"/>
      <c r="I365" s="7"/>
      <c r="O365" s="7"/>
    </row>
    <row r="366" spans="2:15" ht="15.75" customHeight="1" x14ac:dyDescent="0.3">
      <c r="B366" s="7"/>
      <c r="E366" s="7"/>
      <c r="I366" s="7"/>
      <c r="O366" s="7"/>
    </row>
    <row r="367" spans="2:15" ht="15.75" customHeight="1" x14ac:dyDescent="0.3">
      <c r="B367" s="7"/>
      <c r="E367" s="7"/>
      <c r="I367" s="7"/>
      <c r="O367" s="7"/>
    </row>
    <row r="368" spans="2:15" ht="15.75" customHeight="1" x14ac:dyDescent="0.3">
      <c r="B368" s="7"/>
      <c r="E368" s="7"/>
      <c r="I368" s="7"/>
      <c r="O368" s="7"/>
    </row>
    <row r="369" spans="2:15" ht="15.75" customHeight="1" x14ac:dyDescent="0.3">
      <c r="B369" s="7"/>
      <c r="E369" s="7"/>
      <c r="I369" s="7"/>
      <c r="O369" s="7"/>
    </row>
    <row r="370" spans="2:15" ht="15.75" customHeight="1" x14ac:dyDescent="0.3">
      <c r="B370" s="7"/>
      <c r="E370" s="7"/>
      <c r="I370" s="7"/>
      <c r="O370" s="7"/>
    </row>
    <row r="371" spans="2:15" ht="15.75" customHeight="1" x14ac:dyDescent="0.3">
      <c r="B371" s="7"/>
      <c r="E371" s="7"/>
      <c r="I371" s="7"/>
      <c r="O371" s="7"/>
    </row>
    <row r="372" spans="2:15" ht="15.75" customHeight="1" x14ac:dyDescent="0.3">
      <c r="B372" s="7"/>
      <c r="E372" s="7"/>
      <c r="I372" s="7"/>
      <c r="O372" s="7"/>
    </row>
    <row r="373" spans="2:15" ht="15.75" customHeight="1" x14ac:dyDescent="0.3">
      <c r="B373" s="7"/>
      <c r="E373" s="7"/>
      <c r="I373" s="7"/>
      <c r="O373" s="7"/>
    </row>
    <row r="374" spans="2:15" ht="15.75" customHeight="1" x14ac:dyDescent="0.3">
      <c r="B374" s="7"/>
      <c r="E374" s="7"/>
      <c r="I374" s="7"/>
      <c r="O374" s="7"/>
    </row>
    <row r="375" spans="2:15" ht="15.75" customHeight="1" x14ac:dyDescent="0.3">
      <c r="B375" s="7"/>
      <c r="E375" s="7"/>
      <c r="I375" s="7"/>
      <c r="O375" s="7"/>
    </row>
    <row r="376" spans="2:15" ht="15.75" customHeight="1" x14ac:dyDescent="0.3">
      <c r="B376" s="7"/>
      <c r="E376" s="7"/>
      <c r="I376" s="7"/>
      <c r="O376" s="7"/>
    </row>
    <row r="377" spans="2:15" ht="15.75" customHeight="1" x14ac:dyDescent="0.3">
      <c r="B377" s="7"/>
      <c r="E377" s="7"/>
      <c r="I377" s="7"/>
      <c r="O377" s="7"/>
    </row>
    <row r="378" spans="2:15" ht="15.75" customHeight="1" x14ac:dyDescent="0.3">
      <c r="B378" s="7"/>
      <c r="E378" s="7"/>
      <c r="I378" s="7"/>
      <c r="O378" s="7"/>
    </row>
    <row r="379" spans="2:15" ht="15.75" customHeight="1" x14ac:dyDescent="0.3">
      <c r="B379" s="7"/>
      <c r="E379" s="7"/>
      <c r="I379" s="7"/>
      <c r="O379" s="7"/>
    </row>
    <row r="380" spans="2:15" ht="15.75" customHeight="1" x14ac:dyDescent="0.3">
      <c r="B380" s="7"/>
      <c r="E380" s="7"/>
      <c r="I380" s="7"/>
      <c r="O380" s="7"/>
    </row>
    <row r="381" spans="2:15" ht="15.75" customHeight="1" x14ac:dyDescent="0.3">
      <c r="B381" s="7"/>
      <c r="E381" s="7"/>
      <c r="I381" s="7"/>
      <c r="O381" s="7"/>
    </row>
    <row r="382" spans="2:15" ht="15.75" customHeight="1" x14ac:dyDescent="0.3">
      <c r="B382" s="7"/>
      <c r="E382" s="7"/>
      <c r="I382" s="7"/>
      <c r="O382" s="7"/>
    </row>
    <row r="383" spans="2:15" ht="15.75" customHeight="1" x14ac:dyDescent="0.3">
      <c r="B383" s="7"/>
      <c r="E383" s="7"/>
      <c r="I383" s="7"/>
      <c r="O383" s="7"/>
    </row>
    <row r="384" spans="2:15" ht="15.75" customHeight="1" x14ac:dyDescent="0.3">
      <c r="B384" s="7"/>
      <c r="E384" s="7"/>
      <c r="I384" s="7"/>
      <c r="O384" s="7"/>
    </row>
    <row r="385" spans="2:15" ht="15.75" customHeight="1" x14ac:dyDescent="0.3">
      <c r="B385" s="7"/>
      <c r="E385" s="7"/>
      <c r="I385" s="7"/>
      <c r="O385" s="7"/>
    </row>
    <row r="386" spans="2:15" ht="15.75" customHeight="1" x14ac:dyDescent="0.3">
      <c r="B386" s="7"/>
      <c r="E386" s="7"/>
      <c r="I386" s="7"/>
      <c r="O386" s="7"/>
    </row>
    <row r="387" spans="2:15" ht="15.75" customHeight="1" x14ac:dyDescent="0.3">
      <c r="B387" s="7"/>
      <c r="E387" s="7"/>
      <c r="I387" s="7"/>
      <c r="O387" s="7"/>
    </row>
    <row r="388" spans="2:15" ht="15.75" customHeight="1" x14ac:dyDescent="0.3">
      <c r="B388" s="7"/>
      <c r="E388" s="7"/>
      <c r="I388" s="7"/>
      <c r="O388" s="7"/>
    </row>
    <row r="389" spans="2:15" ht="15.75" customHeight="1" x14ac:dyDescent="0.3">
      <c r="B389" s="7"/>
      <c r="E389" s="7"/>
      <c r="I389" s="7"/>
      <c r="O389" s="7"/>
    </row>
    <row r="390" spans="2:15" ht="15.75" customHeight="1" x14ac:dyDescent="0.3">
      <c r="B390" s="7"/>
      <c r="E390" s="7"/>
      <c r="I390" s="7"/>
      <c r="O390" s="7"/>
    </row>
    <row r="391" spans="2:15" ht="15.75" customHeight="1" x14ac:dyDescent="0.3">
      <c r="B391" s="7"/>
      <c r="E391" s="7"/>
      <c r="I391" s="7"/>
      <c r="O391" s="7"/>
    </row>
    <row r="392" spans="2:15" ht="15.75" customHeight="1" x14ac:dyDescent="0.3">
      <c r="B392" s="7"/>
      <c r="E392" s="7"/>
      <c r="I392" s="7"/>
      <c r="O392" s="7"/>
    </row>
    <row r="393" spans="2:15" ht="15.75" customHeight="1" x14ac:dyDescent="0.3">
      <c r="B393" s="7"/>
      <c r="E393" s="7"/>
      <c r="I393" s="7"/>
      <c r="O393" s="7"/>
    </row>
    <row r="394" spans="2:15" ht="15.75" customHeight="1" x14ac:dyDescent="0.3">
      <c r="B394" s="7"/>
      <c r="E394" s="7"/>
      <c r="I394" s="7"/>
      <c r="O394" s="7"/>
    </row>
    <row r="395" spans="2:15" ht="15.75" customHeight="1" x14ac:dyDescent="0.3">
      <c r="B395" s="7"/>
      <c r="E395" s="7"/>
      <c r="I395" s="7"/>
      <c r="O395" s="7"/>
    </row>
    <row r="396" spans="2:15" ht="15.75" customHeight="1" x14ac:dyDescent="0.3">
      <c r="B396" s="7"/>
      <c r="E396" s="7"/>
      <c r="I396" s="7"/>
      <c r="O396" s="7"/>
    </row>
    <row r="397" spans="2:15" ht="15.75" customHeight="1" x14ac:dyDescent="0.3">
      <c r="B397" s="7"/>
      <c r="E397" s="7"/>
      <c r="I397" s="7"/>
      <c r="O397" s="7"/>
    </row>
    <row r="398" spans="2:15" ht="15.75" customHeight="1" x14ac:dyDescent="0.3">
      <c r="B398" s="7"/>
      <c r="E398" s="7"/>
      <c r="I398" s="7"/>
      <c r="O398" s="7"/>
    </row>
    <row r="399" spans="2:15" ht="15.75" customHeight="1" x14ac:dyDescent="0.3">
      <c r="B399" s="7"/>
      <c r="E399" s="7"/>
      <c r="I399" s="7"/>
      <c r="O399" s="7"/>
    </row>
    <row r="400" spans="2:15" ht="15.75" customHeight="1" x14ac:dyDescent="0.3">
      <c r="B400" s="7"/>
      <c r="E400" s="7"/>
      <c r="I400" s="7"/>
      <c r="O400" s="7"/>
    </row>
    <row r="401" spans="2:15" ht="15.75" customHeight="1" x14ac:dyDescent="0.3">
      <c r="B401" s="7"/>
      <c r="E401" s="7"/>
      <c r="I401" s="7"/>
      <c r="O401" s="7"/>
    </row>
    <row r="402" spans="2:15" ht="15.75" customHeight="1" x14ac:dyDescent="0.3">
      <c r="B402" s="7"/>
      <c r="E402" s="7"/>
      <c r="I402" s="7"/>
      <c r="O402" s="7"/>
    </row>
    <row r="403" spans="2:15" ht="15.75" customHeight="1" x14ac:dyDescent="0.3">
      <c r="B403" s="7"/>
      <c r="E403" s="7"/>
      <c r="I403" s="7"/>
      <c r="O403" s="7"/>
    </row>
    <row r="404" spans="2:15" ht="15.75" customHeight="1" x14ac:dyDescent="0.3">
      <c r="B404" s="7"/>
      <c r="E404" s="7"/>
      <c r="I404" s="7"/>
      <c r="O404" s="7"/>
    </row>
    <row r="405" spans="2:15" ht="15.75" customHeight="1" x14ac:dyDescent="0.3">
      <c r="B405" s="7"/>
      <c r="E405" s="7"/>
      <c r="I405" s="7"/>
      <c r="O405" s="7"/>
    </row>
    <row r="406" spans="2:15" ht="15.75" customHeight="1" x14ac:dyDescent="0.3">
      <c r="B406" s="7"/>
      <c r="E406" s="7"/>
      <c r="I406" s="7"/>
      <c r="O406" s="7"/>
    </row>
    <row r="407" spans="2:15" ht="15.75" customHeight="1" x14ac:dyDescent="0.3">
      <c r="B407" s="7"/>
      <c r="E407" s="7"/>
      <c r="I407" s="7"/>
      <c r="O407" s="7"/>
    </row>
    <row r="408" spans="2:15" ht="15.75" customHeight="1" x14ac:dyDescent="0.3">
      <c r="B408" s="7"/>
      <c r="E408" s="7"/>
      <c r="I408" s="7"/>
      <c r="O408" s="7"/>
    </row>
    <row r="409" spans="2:15" ht="15.75" customHeight="1" x14ac:dyDescent="0.3">
      <c r="B409" s="7"/>
      <c r="E409" s="7"/>
      <c r="I409" s="7"/>
      <c r="O409" s="7"/>
    </row>
    <row r="410" spans="2:15" ht="15.75" customHeight="1" x14ac:dyDescent="0.3">
      <c r="B410" s="7"/>
      <c r="E410" s="7"/>
      <c r="I410" s="7"/>
      <c r="O410" s="7"/>
    </row>
    <row r="411" spans="2:15" ht="15.75" customHeight="1" x14ac:dyDescent="0.3">
      <c r="B411" s="7"/>
      <c r="E411" s="7"/>
      <c r="I411" s="7"/>
      <c r="O411" s="7"/>
    </row>
    <row r="412" spans="2:15" ht="15.75" customHeight="1" x14ac:dyDescent="0.3">
      <c r="B412" s="7"/>
      <c r="E412" s="7"/>
      <c r="I412" s="7"/>
      <c r="O412" s="7"/>
    </row>
    <row r="413" spans="2:15" ht="15.75" customHeight="1" x14ac:dyDescent="0.3">
      <c r="B413" s="7"/>
      <c r="E413" s="7"/>
      <c r="I413" s="7"/>
      <c r="O413" s="7"/>
    </row>
    <row r="414" spans="2:15" ht="15.75" customHeight="1" x14ac:dyDescent="0.3">
      <c r="B414" s="7"/>
      <c r="E414" s="7"/>
      <c r="I414" s="7"/>
      <c r="O414" s="7"/>
    </row>
    <row r="415" spans="2:15" ht="15.75" customHeight="1" x14ac:dyDescent="0.3">
      <c r="B415" s="7"/>
      <c r="E415" s="7"/>
      <c r="I415" s="7"/>
      <c r="O415" s="7"/>
    </row>
    <row r="416" spans="2:15" ht="15.75" customHeight="1" x14ac:dyDescent="0.3">
      <c r="B416" s="7"/>
      <c r="E416" s="7"/>
      <c r="I416" s="7"/>
      <c r="O416" s="7"/>
    </row>
    <row r="417" spans="2:15" ht="15.75" customHeight="1" x14ac:dyDescent="0.3">
      <c r="B417" s="7"/>
      <c r="E417" s="7"/>
      <c r="I417" s="7"/>
      <c r="O417" s="7"/>
    </row>
    <row r="418" spans="2:15" ht="15.75" customHeight="1" x14ac:dyDescent="0.3">
      <c r="B418" s="7"/>
      <c r="E418" s="7"/>
      <c r="I418" s="7"/>
      <c r="O418" s="7"/>
    </row>
    <row r="419" spans="2:15" ht="15.75" customHeight="1" x14ac:dyDescent="0.3">
      <c r="B419" s="7"/>
      <c r="E419" s="7"/>
      <c r="I419" s="7"/>
      <c r="O419" s="7"/>
    </row>
    <row r="420" spans="2:15" ht="15.75" customHeight="1" x14ac:dyDescent="0.3">
      <c r="B420" s="7"/>
      <c r="E420" s="7"/>
      <c r="I420" s="7"/>
      <c r="O420" s="7"/>
    </row>
    <row r="421" spans="2:15" ht="15.75" customHeight="1" x14ac:dyDescent="0.3">
      <c r="B421" s="7"/>
      <c r="E421" s="7"/>
      <c r="I421" s="7"/>
      <c r="O421" s="7"/>
    </row>
    <row r="422" spans="2:15" ht="15.75" customHeight="1" x14ac:dyDescent="0.3">
      <c r="B422" s="7"/>
      <c r="E422" s="7"/>
      <c r="I422" s="7"/>
      <c r="O422" s="7"/>
    </row>
    <row r="423" spans="2:15" ht="15.75" customHeight="1" x14ac:dyDescent="0.3">
      <c r="B423" s="7"/>
      <c r="E423" s="7"/>
      <c r="I423" s="7"/>
      <c r="O423" s="7"/>
    </row>
    <row r="424" spans="2:15" ht="15.75" customHeight="1" x14ac:dyDescent="0.3">
      <c r="B424" s="7"/>
      <c r="E424" s="7"/>
      <c r="I424" s="7"/>
      <c r="O424" s="7"/>
    </row>
    <row r="425" spans="2:15" ht="15.75" customHeight="1" x14ac:dyDescent="0.3">
      <c r="B425" s="7"/>
      <c r="E425" s="7"/>
      <c r="I425" s="7"/>
      <c r="O425" s="7"/>
    </row>
    <row r="426" spans="2:15" ht="15.75" customHeight="1" x14ac:dyDescent="0.3">
      <c r="B426" s="7"/>
      <c r="E426" s="7"/>
      <c r="I426" s="7"/>
      <c r="O426" s="7"/>
    </row>
    <row r="427" spans="2:15" ht="15.75" customHeight="1" x14ac:dyDescent="0.3">
      <c r="B427" s="7"/>
      <c r="E427" s="7"/>
      <c r="I427" s="7"/>
      <c r="O427" s="7"/>
    </row>
    <row r="428" spans="2:15" ht="15.75" customHeight="1" x14ac:dyDescent="0.3">
      <c r="B428" s="7"/>
      <c r="E428" s="7"/>
      <c r="I428" s="7"/>
      <c r="O428" s="7"/>
    </row>
    <row r="429" spans="2:15" ht="15.75" customHeight="1" x14ac:dyDescent="0.3">
      <c r="B429" s="7"/>
      <c r="E429" s="7"/>
      <c r="I429" s="7"/>
      <c r="O429" s="7"/>
    </row>
    <row r="430" spans="2:15" ht="15.75" customHeight="1" x14ac:dyDescent="0.3">
      <c r="B430" s="7"/>
      <c r="E430" s="7"/>
      <c r="I430" s="7"/>
      <c r="O430" s="7"/>
    </row>
    <row r="431" spans="2:15" ht="15.75" customHeight="1" x14ac:dyDescent="0.3">
      <c r="B431" s="7"/>
      <c r="E431" s="7"/>
      <c r="I431" s="7"/>
      <c r="O431" s="7"/>
    </row>
    <row r="432" spans="2:15" ht="15.75" customHeight="1" x14ac:dyDescent="0.3">
      <c r="B432" s="7"/>
      <c r="E432" s="7"/>
      <c r="I432" s="7"/>
      <c r="O432" s="7"/>
    </row>
    <row r="433" spans="2:15" ht="15.75" customHeight="1" x14ac:dyDescent="0.3">
      <c r="B433" s="7"/>
      <c r="E433" s="7"/>
      <c r="I433" s="7"/>
      <c r="O433" s="7"/>
    </row>
    <row r="434" spans="2:15" ht="15.75" customHeight="1" x14ac:dyDescent="0.3">
      <c r="B434" s="7"/>
      <c r="E434" s="7"/>
      <c r="I434" s="7"/>
      <c r="O434" s="7"/>
    </row>
    <row r="435" spans="2:15" ht="15.75" customHeight="1" x14ac:dyDescent="0.3">
      <c r="B435" s="7"/>
      <c r="E435" s="7"/>
      <c r="I435" s="7"/>
      <c r="O435" s="7"/>
    </row>
    <row r="436" spans="2:15" ht="15.75" customHeight="1" x14ac:dyDescent="0.3">
      <c r="B436" s="7"/>
      <c r="E436" s="7"/>
      <c r="I436" s="7"/>
      <c r="O436" s="7"/>
    </row>
    <row r="437" spans="2:15" ht="15.75" customHeight="1" x14ac:dyDescent="0.3">
      <c r="B437" s="7"/>
      <c r="E437" s="7"/>
      <c r="I437" s="7"/>
      <c r="O437" s="7"/>
    </row>
    <row r="438" spans="2:15" ht="15.75" customHeight="1" x14ac:dyDescent="0.3">
      <c r="B438" s="7"/>
      <c r="E438" s="7"/>
      <c r="I438" s="7"/>
      <c r="O438" s="7"/>
    </row>
    <row r="439" spans="2:15" ht="15.75" customHeight="1" x14ac:dyDescent="0.3">
      <c r="B439" s="7"/>
      <c r="E439" s="7"/>
      <c r="I439" s="7"/>
      <c r="O439" s="7"/>
    </row>
    <row r="440" spans="2:15" ht="15.75" customHeight="1" x14ac:dyDescent="0.3">
      <c r="B440" s="7"/>
      <c r="E440" s="7"/>
      <c r="I440" s="7"/>
      <c r="O440" s="7"/>
    </row>
    <row r="441" spans="2:15" ht="15.75" customHeight="1" x14ac:dyDescent="0.3">
      <c r="B441" s="7"/>
      <c r="E441" s="7"/>
      <c r="I441" s="7"/>
      <c r="O441" s="7"/>
    </row>
    <row r="442" spans="2:15" ht="15.75" customHeight="1" x14ac:dyDescent="0.3">
      <c r="B442" s="7"/>
      <c r="E442" s="7"/>
      <c r="I442" s="7"/>
      <c r="O442" s="7"/>
    </row>
    <row r="443" spans="2:15" ht="15.75" customHeight="1" x14ac:dyDescent="0.3">
      <c r="B443" s="7"/>
      <c r="E443" s="7"/>
      <c r="I443" s="7"/>
      <c r="O443" s="7"/>
    </row>
    <row r="444" spans="2:15" ht="15.75" customHeight="1" x14ac:dyDescent="0.3">
      <c r="B444" s="7"/>
      <c r="E444" s="7"/>
      <c r="I444" s="7"/>
      <c r="O444" s="7"/>
    </row>
    <row r="445" spans="2:15" ht="15.75" customHeight="1" x14ac:dyDescent="0.3">
      <c r="B445" s="7"/>
      <c r="E445" s="7"/>
      <c r="I445" s="7"/>
      <c r="O445" s="7"/>
    </row>
    <row r="446" spans="2:15" ht="15.75" customHeight="1" x14ac:dyDescent="0.3">
      <c r="B446" s="7"/>
      <c r="E446" s="7"/>
      <c r="I446" s="7"/>
      <c r="O446" s="7"/>
    </row>
    <row r="447" spans="2:15" ht="15.75" customHeight="1" x14ac:dyDescent="0.3">
      <c r="B447" s="7"/>
      <c r="E447" s="7"/>
      <c r="I447" s="7"/>
      <c r="O447" s="7"/>
    </row>
    <row r="448" spans="2:15" ht="15.75" customHeight="1" x14ac:dyDescent="0.3">
      <c r="B448" s="7"/>
      <c r="E448" s="7"/>
      <c r="I448" s="7"/>
      <c r="O448" s="7"/>
    </row>
    <row r="449" spans="2:15" ht="15.75" customHeight="1" x14ac:dyDescent="0.3">
      <c r="B449" s="7"/>
      <c r="E449" s="7"/>
      <c r="I449" s="7"/>
      <c r="O449" s="7"/>
    </row>
    <row r="450" spans="2:15" ht="15.75" customHeight="1" x14ac:dyDescent="0.3">
      <c r="B450" s="7"/>
      <c r="E450" s="7"/>
      <c r="I450" s="7"/>
      <c r="O450" s="7"/>
    </row>
    <row r="451" spans="2:15" ht="15.75" customHeight="1" x14ac:dyDescent="0.3">
      <c r="B451" s="7"/>
      <c r="E451" s="7"/>
      <c r="I451" s="7"/>
      <c r="O451" s="7"/>
    </row>
    <row r="452" spans="2:15" ht="15.75" customHeight="1" x14ac:dyDescent="0.3">
      <c r="B452" s="7"/>
      <c r="E452" s="7"/>
      <c r="I452" s="7"/>
      <c r="O452" s="7"/>
    </row>
    <row r="453" spans="2:15" ht="15.75" customHeight="1" x14ac:dyDescent="0.3">
      <c r="B453" s="7"/>
      <c r="E453" s="7"/>
      <c r="I453" s="7"/>
      <c r="O453" s="7"/>
    </row>
    <row r="454" spans="2:15" ht="15.75" customHeight="1" x14ac:dyDescent="0.3">
      <c r="B454" s="7"/>
      <c r="E454" s="7"/>
      <c r="I454" s="7"/>
      <c r="O454" s="7"/>
    </row>
    <row r="455" spans="2:15" ht="15.75" customHeight="1" x14ac:dyDescent="0.3">
      <c r="B455" s="7"/>
      <c r="E455" s="7"/>
      <c r="I455" s="7"/>
      <c r="O455" s="7"/>
    </row>
    <row r="456" spans="2:15" ht="15.75" customHeight="1" x14ac:dyDescent="0.3">
      <c r="B456" s="7"/>
      <c r="E456" s="7"/>
      <c r="I456" s="7"/>
      <c r="O456" s="7"/>
    </row>
    <row r="457" spans="2:15" ht="15.75" customHeight="1" x14ac:dyDescent="0.3">
      <c r="B457" s="7"/>
      <c r="E457" s="7"/>
      <c r="I457" s="7"/>
      <c r="O457" s="7"/>
    </row>
    <row r="458" spans="2:15" ht="15.75" customHeight="1" x14ac:dyDescent="0.3">
      <c r="B458" s="7"/>
      <c r="E458" s="7"/>
      <c r="I458" s="7"/>
      <c r="O458" s="7"/>
    </row>
    <row r="459" spans="2:15" ht="15.75" customHeight="1" x14ac:dyDescent="0.3">
      <c r="B459" s="7"/>
      <c r="E459" s="7"/>
      <c r="I459" s="7"/>
      <c r="O459" s="7"/>
    </row>
    <row r="460" spans="2:15" ht="15.75" customHeight="1" x14ac:dyDescent="0.3">
      <c r="B460" s="7"/>
      <c r="E460" s="7"/>
      <c r="I460" s="7"/>
      <c r="O460" s="7"/>
    </row>
    <row r="461" spans="2:15" ht="15.75" customHeight="1" x14ac:dyDescent="0.3">
      <c r="B461" s="7"/>
      <c r="E461" s="7"/>
      <c r="I461" s="7"/>
      <c r="O461" s="7"/>
    </row>
    <row r="462" spans="2:15" ht="15.75" customHeight="1" x14ac:dyDescent="0.3">
      <c r="B462" s="7"/>
      <c r="E462" s="7"/>
      <c r="I462" s="7"/>
      <c r="O462" s="7"/>
    </row>
    <row r="463" spans="2:15" ht="15.75" customHeight="1" x14ac:dyDescent="0.3">
      <c r="B463" s="7"/>
      <c r="E463" s="7"/>
      <c r="I463" s="7"/>
      <c r="O463" s="7"/>
    </row>
    <row r="464" spans="2:15" ht="15.75" customHeight="1" x14ac:dyDescent="0.3">
      <c r="B464" s="7"/>
      <c r="E464" s="7"/>
      <c r="I464" s="7"/>
      <c r="O464" s="7"/>
    </row>
    <row r="465" spans="2:15" ht="15.75" customHeight="1" x14ac:dyDescent="0.3">
      <c r="B465" s="7"/>
      <c r="E465" s="7"/>
      <c r="I465" s="7"/>
      <c r="O465" s="7"/>
    </row>
    <row r="466" spans="2:15" ht="15.75" customHeight="1" x14ac:dyDescent="0.3">
      <c r="B466" s="7"/>
      <c r="E466" s="7"/>
      <c r="I466" s="7"/>
      <c r="O466" s="7"/>
    </row>
    <row r="467" spans="2:15" ht="15.75" customHeight="1" x14ac:dyDescent="0.3">
      <c r="B467" s="7"/>
      <c r="E467" s="7"/>
      <c r="I467" s="7"/>
      <c r="O467" s="7"/>
    </row>
    <row r="468" spans="2:15" ht="15.75" customHeight="1" x14ac:dyDescent="0.3">
      <c r="B468" s="7"/>
      <c r="E468" s="7"/>
      <c r="I468" s="7"/>
      <c r="O468" s="7"/>
    </row>
    <row r="469" spans="2:15" ht="15.75" customHeight="1" x14ac:dyDescent="0.3">
      <c r="B469" s="7"/>
      <c r="E469" s="7"/>
      <c r="I469" s="7"/>
      <c r="O469" s="7"/>
    </row>
    <row r="470" spans="2:15" ht="15.75" customHeight="1" x14ac:dyDescent="0.3">
      <c r="B470" s="7"/>
      <c r="E470" s="7"/>
      <c r="I470" s="7"/>
      <c r="O470" s="7"/>
    </row>
    <row r="471" spans="2:15" ht="15.75" customHeight="1" x14ac:dyDescent="0.3">
      <c r="B471" s="7"/>
      <c r="E471" s="7"/>
      <c r="I471" s="7"/>
      <c r="O471" s="7"/>
    </row>
    <row r="472" spans="2:15" ht="15.75" customHeight="1" x14ac:dyDescent="0.3">
      <c r="B472" s="7"/>
      <c r="E472" s="7"/>
      <c r="I472" s="7"/>
      <c r="O472" s="7"/>
    </row>
    <row r="473" spans="2:15" ht="15.75" customHeight="1" x14ac:dyDescent="0.3">
      <c r="B473" s="7"/>
      <c r="E473" s="7"/>
      <c r="I473" s="7"/>
      <c r="O473" s="7"/>
    </row>
    <row r="474" spans="2:15" ht="15.75" customHeight="1" x14ac:dyDescent="0.3">
      <c r="B474" s="7"/>
      <c r="E474" s="7"/>
      <c r="I474" s="7"/>
      <c r="O474" s="7"/>
    </row>
    <row r="475" spans="2:15" ht="15.75" customHeight="1" x14ac:dyDescent="0.3">
      <c r="B475" s="7"/>
      <c r="E475" s="7"/>
      <c r="I475" s="7"/>
      <c r="O475" s="7"/>
    </row>
    <row r="476" spans="2:15" ht="15.75" customHeight="1" x14ac:dyDescent="0.3">
      <c r="B476" s="7"/>
      <c r="E476" s="7"/>
      <c r="I476" s="7"/>
      <c r="O476" s="7"/>
    </row>
    <row r="477" spans="2:15" ht="15.75" customHeight="1" x14ac:dyDescent="0.3">
      <c r="B477" s="7"/>
      <c r="E477" s="7"/>
      <c r="I477" s="7"/>
      <c r="O477" s="7"/>
    </row>
    <row r="478" spans="2:15" ht="15.75" customHeight="1" x14ac:dyDescent="0.3">
      <c r="B478" s="7"/>
      <c r="E478" s="7"/>
      <c r="I478" s="7"/>
      <c r="O478" s="7"/>
    </row>
    <row r="479" spans="2:15" ht="15.75" customHeight="1" x14ac:dyDescent="0.3">
      <c r="B479" s="7"/>
      <c r="E479" s="7"/>
      <c r="I479" s="7"/>
      <c r="O479" s="7"/>
    </row>
    <row r="480" spans="2:15" ht="15.75" customHeight="1" x14ac:dyDescent="0.3">
      <c r="B480" s="7"/>
      <c r="E480" s="7"/>
      <c r="I480" s="7"/>
      <c r="O480" s="7"/>
    </row>
    <row r="481" spans="2:15" ht="15.75" customHeight="1" x14ac:dyDescent="0.3">
      <c r="B481" s="7"/>
      <c r="E481" s="7"/>
      <c r="I481" s="7"/>
      <c r="O481" s="7"/>
    </row>
    <row r="482" spans="2:15" ht="15.75" customHeight="1" x14ac:dyDescent="0.3">
      <c r="B482" s="7"/>
      <c r="E482" s="7"/>
      <c r="I482" s="7"/>
      <c r="O482" s="7"/>
    </row>
    <row r="483" spans="2:15" ht="15.75" customHeight="1" x14ac:dyDescent="0.3">
      <c r="B483" s="7"/>
      <c r="E483" s="7"/>
      <c r="I483" s="7"/>
      <c r="O483" s="7"/>
    </row>
    <row r="484" spans="2:15" ht="15.75" customHeight="1" x14ac:dyDescent="0.3">
      <c r="B484" s="7"/>
      <c r="E484" s="7"/>
      <c r="I484" s="7"/>
      <c r="O484" s="7"/>
    </row>
    <row r="485" spans="2:15" ht="15.75" customHeight="1" x14ac:dyDescent="0.3">
      <c r="B485" s="7"/>
      <c r="E485" s="7"/>
      <c r="I485" s="7"/>
      <c r="O485" s="7"/>
    </row>
    <row r="486" spans="2:15" ht="15.75" customHeight="1" x14ac:dyDescent="0.3">
      <c r="B486" s="7"/>
      <c r="E486" s="7"/>
      <c r="I486" s="7"/>
      <c r="O486" s="7"/>
    </row>
    <row r="487" spans="2:15" ht="15.75" customHeight="1" x14ac:dyDescent="0.3">
      <c r="B487" s="7"/>
      <c r="E487" s="7"/>
      <c r="I487" s="7"/>
      <c r="O487" s="7"/>
    </row>
    <row r="488" spans="2:15" ht="15.75" customHeight="1" x14ac:dyDescent="0.3">
      <c r="B488" s="7"/>
      <c r="E488" s="7"/>
      <c r="I488" s="7"/>
      <c r="O488" s="7"/>
    </row>
    <row r="489" spans="2:15" ht="15.75" customHeight="1" x14ac:dyDescent="0.3">
      <c r="B489" s="7"/>
      <c r="E489" s="7"/>
      <c r="I489" s="7"/>
      <c r="O489" s="7"/>
    </row>
    <row r="490" spans="2:15" ht="15.75" customHeight="1" x14ac:dyDescent="0.3">
      <c r="B490" s="7"/>
      <c r="E490" s="7"/>
      <c r="I490" s="7"/>
      <c r="O490" s="7"/>
    </row>
    <row r="491" spans="2:15" ht="15.75" customHeight="1" x14ac:dyDescent="0.3">
      <c r="B491" s="7"/>
      <c r="E491" s="7"/>
      <c r="I491" s="7"/>
      <c r="O491" s="7"/>
    </row>
    <row r="492" spans="2:15" ht="15.75" customHeight="1" x14ac:dyDescent="0.3">
      <c r="B492" s="7"/>
      <c r="E492" s="7"/>
      <c r="I492" s="7"/>
      <c r="O492" s="7"/>
    </row>
    <row r="493" spans="2:15" ht="15.75" customHeight="1" x14ac:dyDescent="0.3">
      <c r="B493" s="7"/>
      <c r="E493" s="7"/>
      <c r="I493" s="7"/>
      <c r="O493" s="7"/>
    </row>
    <row r="494" spans="2:15" ht="15.75" customHeight="1" x14ac:dyDescent="0.3">
      <c r="B494" s="7"/>
      <c r="E494" s="7"/>
      <c r="I494" s="7"/>
      <c r="O494" s="7"/>
    </row>
    <row r="495" spans="2:15" ht="15.75" customHeight="1" x14ac:dyDescent="0.3">
      <c r="B495" s="7"/>
      <c r="E495" s="7"/>
      <c r="I495" s="7"/>
      <c r="O495" s="7"/>
    </row>
    <row r="496" spans="2:15" ht="15.75" customHeight="1" x14ac:dyDescent="0.3">
      <c r="B496" s="7"/>
      <c r="E496" s="7"/>
      <c r="I496" s="7"/>
      <c r="O496" s="7"/>
    </row>
    <row r="497" spans="2:15" ht="15.75" customHeight="1" x14ac:dyDescent="0.3">
      <c r="B497" s="7"/>
      <c r="E497" s="7"/>
      <c r="I497" s="7"/>
      <c r="O497" s="7"/>
    </row>
    <row r="498" spans="2:15" ht="15.75" customHeight="1" x14ac:dyDescent="0.3">
      <c r="B498" s="7"/>
      <c r="E498" s="7"/>
      <c r="I498" s="7"/>
      <c r="O498" s="7"/>
    </row>
    <row r="499" spans="2:15" ht="15.75" customHeight="1" x14ac:dyDescent="0.3">
      <c r="B499" s="7"/>
      <c r="E499" s="7"/>
      <c r="I499" s="7"/>
      <c r="O499" s="7"/>
    </row>
    <row r="500" spans="2:15" ht="15.75" customHeight="1" x14ac:dyDescent="0.3">
      <c r="B500" s="7"/>
      <c r="E500" s="7"/>
      <c r="I500" s="7"/>
      <c r="O500" s="7"/>
    </row>
    <row r="501" spans="2:15" ht="15.75" customHeight="1" x14ac:dyDescent="0.3">
      <c r="B501" s="7"/>
      <c r="E501" s="7"/>
      <c r="I501" s="7"/>
      <c r="O501" s="7"/>
    </row>
    <row r="502" spans="2:15" ht="15.75" customHeight="1" x14ac:dyDescent="0.3">
      <c r="B502" s="7"/>
      <c r="E502" s="7"/>
      <c r="I502" s="7"/>
      <c r="O502" s="7"/>
    </row>
    <row r="503" spans="2:15" ht="15.75" customHeight="1" x14ac:dyDescent="0.3">
      <c r="B503" s="7"/>
      <c r="E503" s="7"/>
      <c r="I503" s="7"/>
      <c r="O503" s="7"/>
    </row>
    <row r="504" spans="2:15" ht="15.75" customHeight="1" x14ac:dyDescent="0.3">
      <c r="B504" s="7"/>
      <c r="E504" s="7"/>
      <c r="I504" s="7"/>
      <c r="O504" s="7"/>
    </row>
    <row r="505" spans="2:15" ht="15.75" customHeight="1" x14ac:dyDescent="0.3">
      <c r="B505" s="7"/>
      <c r="E505" s="7"/>
      <c r="I505" s="7"/>
      <c r="O505" s="7"/>
    </row>
    <row r="506" spans="2:15" ht="15.75" customHeight="1" x14ac:dyDescent="0.3">
      <c r="B506" s="7"/>
      <c r="E506" s="7"/>
      <c r="I506" s="7"/>
      <c r="O506" s="7"/>
    </row>
    <row r="507" spans="2:15" ht="15.75" customHeight="1" x14ac:dyDescent="0.3">
      <c r="B507" s="7"/>
      <c r="E507" s="7"/>
      <c r="I507" s="7"/>
      <c r="O507" s="7"/>
    </row>
    <row r="508" spans="2:15" ht="15.75" customHeight="1" x14ac:dyDescent="0.3">
      <c r="B508" s="7"/>
      <c r="E508" s="7"/>
      <c r="I508" s="7"/>
      <c r="O508" s="7"/>
    </row>
    <row r="509" spans="2:15" ht="15.75" customHeight="1" x14ac:dyDescent="0.3">
      <c r="B509" s="7"/>
      <c r="E509" s="7"/>
      <c r="I509" s="7"/>
      <c r="O509" s="7"/>
    </row>
    <row r="510" spans="2:15" ht="15.75" customHeight="1" x14ac:dyDescent="0.3">
      <c r="B510" s="7"/>
      <c r="E510" s="7"/>
      <c r="I510" s="7"/>
      <c r="O510" s="7"/>
    </row>
    <row r="511" spans="2:15" ht="15.75" customHeight="1" x14ac:dyDescent="0.3">
      <c r="B511" s="7"/>
      <c r="E511" s="7"/>
      <c r="I511" s="7"/>
      <c r="O511" s="7"/>
    </row>
    <row r="512" spans="2:15" ht="15.75" customHeight="1" x14ac:dyDescent="0.3">
      <c r="B512" s="7"/>
      <c r="E512" s="7"/>
      <c r="I512" s="7"/>
      <c r="O512" s="7"/>
    </row>
    <row r="513" spans="2:15" ht="15.75" customHeight="1" x14ac:dyDescent="0.3">
      <c r="B513" s="7"/>
      <c r="E513" s="7"/>
      <c r="I513" s="7"/>
      <c r="O513" s="7"/>
    </row>
    <row r="514" spans="2:15" ht="15.75" customHeight="1" x14ac:dyDescent="0.3">
      <c r="B514" s="7"/>
      <c r="E514" s="7"/>
      <c r="I514" s="7"/>
      <c r="O514" s="7"/>
    </row>
    <row r="515" spans="2:15" ht="15.75" customHeight="1" x14ac:dyDescent="0.3">
      <c r="B515" s="7"/>
      <c r="E515" s="7"/>
      <c r="I515" s="7"/>
      <c r="O515" s="7"/>
    </row>
    <row r="516" spans="2:15" ht="15.75" customHeight="1" x14ac:dyDescent="0.3">
      <c r="B516" s="7"/>
      <c r="E516" s="7"/>
      <c r="I516" s="7"/>
      <c r="O516" s="7"/>
    </row>
    <row r="517" spans="2:15" ht="15.75" customHeight="1" x14ac:dyDescent="0.3">
      <c r="B517" s="7"/>
      <c r="E517" s="7"/>
      <c r="I517" s="7"/>
      <c r="O517" s="7"/>
    </row>
    <row r="518" spans="2:15" ht="15.75" customHeight="1" x14ac:dyDescent="0.3">
      <c r="B518" s="7"/>
      <c r="E518" s="7"/>
      <c r="I518" s="7"/>
      <c r="O518" s="7"/>
    </row>
    <row r="519" spans="2:15" ht="15.75" customHeight="1" x14ac:dyDescent="0.3">
      <c r="B519" s="7"/>
      <c r="E519" s="7"/>
      <c r="I519" s="7"/>
      <c r="O519" s="7"/>
    </row>
    <row r="520" spans="2:15" ht="15.75" customHeight="1" x14ac:dyDescent="0.3">
      <c r="B520" s="7"/>
      <c r="E520" s="7"/>
      <c r="I520" s="7"/>
      <c r="O520" s="7"/>
    </row>
    <row r="521" spans="2:15" ht="15.75" customHeight="1" x14ac:dyDescent="0.3">
      <c r="B521" s="7"/>
      <c r="E521" s="7"/>
      <c r="I521" s="7"/>
      <c r="O521" s="7"/>
    </row>
    <row r="522" spans="2:15" ht="15.75" customHeight="1" x14ac:dyDescent="0.3">
      <c r="B522" s="7"/>
      <c r="E522" s="7"/>
      <c r="I522" s="7"/>
      <c r="O522" s="7"/>
    </row>
    <row r="523" spans="2:15" ht="15.75" customHeight="1" x14ac:dyDescent="0.3">
      <c r="B523" s="7"/>
      <c r="E523" s="7"/>
      <c r="I523" s="7"/>
      <c r="O523" s="7"/>
    </row>
    <row r="524" spans="2:15" ht="15.75" customHeight="1" x14ac:dyDescent="0.3">
      <c r="B524" s="7"/>
      <c r="E524" s="7"/>
      <c r="I524" s="7"/>
      <c r="O524" s="7"/>
    </row>
    <row r="525" spans="2:15" ht="15.75" customHeight="1" x14ac:dyDescent="0.3">
      <c r="B525" s="7"/>
      <c r="E525" s="7"/>
      <c r="I525" s="7"/>
      <c r="O525" s="7"/>
    </row>
    <row r="526" spans="2:15" ht="15.75" customHeight="1" x14ac:dyDescent="0.3">
      <c r="B526" s="7"/>
      <c r="E526" s="7"/>
      <c r="I526" s="7"/>
      <c r="O526" s="7"/>
    </row>
    <row r="527" spans="2:15" ht="15.75" customHeight="1" x14ac:dyDescent="0.3">
      <c r="B527" s="7"/>
      <c r="E527" s="7"/>
      <c r="I527" s="7"/>
      <c r="O527" s="7"/>
    </row>
    <row r="528" spans="2:15" ht="15.75" customHeight="1" x14ac:dyDescent="0.3">
      <c r="B528" s="7"/>
      <c r="E528" s="7"/>
      <c r="I528" s="7"/>
      <c r="O528" s="7"/>
    </row>
    <row r="529" spans="2:15" ht="15.75" customHeight="1" x14ac:dyDescent="0.3">
      <c r="B529" s="7"/>
      <c r="E529" s="7"/>
      <c r="I529" s="7"/>
      <c r="O529" s="7"/>
    </row>
    <row r="530" spans="2:15" ht="15.75" customHeight="1" x14ac:dyDescent="0.3">
      <c r="B530" s="7"/>
      <c r="E530" s="7"/>
      <c r="I530" s="7"/>
      <c r="O530" s="7"/>
    </row>
    <row r="531" spans="2:15" ht="15.75" customHeight="1" x14ac:dyDescent="0.3">
      <c r="B531" s="7"/>
      <c r="E531" s="7"/>
      <c r="I531" s="7"/>
      <c r="O531" s="7"/>
    </row>
    <row r="532" spans="2:15" ht="15.75" customHeight="1" x14ac:dyDescent="0.3">
      <c r="B532" s="7"/>
      <c r="E532" s="7"/>
      <c r="I532" s="7"/>
      <c r="O532" s="7"/>
    </row>
    <row r="533" spans="2:15" ht="15.75" customHeight="1" x14ac:dyDescent="0.3">
      <c r="B533" s="7"/>
      <c r="E533" s="7"/>
      <c r="I533" s="7"/>
      <c r="O533" s="7"/>
    </row>
    <row r="534" spans="2:15" ht="15.75" customHeight="1" x14ac:dyDescent="0.3">
      <c r="B534" s="7"/>
      <c r="E534" s="7"/>
      <c r="I534" s="7"/>
      <c r="O534" s="7"/>
    </row>
    <row r="535" spans="2:15" ht="15.75" customHeight="1" x14ac:dyDescent="0.3">
      <c r="B535" s="7"/>
      <c r="E535" s="7"/>
      <c r="I535" s="7"/>
      <c r="O535" s="7"/>
    </row>
    <row r="536" spans="2:15" ht="15.75" customHeight="1" x14ac:dyDescent="0.3">
      <c r="B536" s="7"/>
      <c r="E536" s="7"/>
      <c r="I536" s="7"/>
      <c r="O536" s="7"/>
    </row>
    <row r="537" spans="2:15" ht="15.75" customHeight="1" x14ac:dyDescent="0.3">
      <c r="B537" s="7"/>
      <c r="E537" s="7"/>
      <c r="I537" s="7"/>
      <c r="O537" s="7"/>
    </row>
    <row r="538" spans="2:15" ht="15.75" customHeight="1" x14ac:dyDescent="0.3">
      <c r="B538" s="7"/>
      <c r="E538" s="7"/>
      <c r="I538" s="7"/>
      <c r="O538" s="7"/>
    </row>
    <row r="539" spans="2:15" ht="15.75" customHeight="1" x14ac:dyDescent="0.3">
      <c r="B539" s="7"/>
      <c r="E539" s="7"/>
      <c r="I539" s="7"/>
      <c r="O539" s="7"/>
    </row>
    <row r="540" spans="2:15" ht="15.75" customHeight="1" x14ac:dyDescent="0.3">
      <c r="B540" s="7"/>
      <c r="E540" s="7"/>
      <c r="I540" s="7"/>
      <c r="O540" s="7"/>
    </row>
    <row r="541" spans="2:15" ht="15.75" customHeight="1" x14ac:dyDescent="0.3">
      <c r="B541" s="7"/>
      <c r="E541" s="7"/>
      <c r="I541" s="7"/>
      <c r="O541" s="7"/>
    </row>
    <row r="542" spans="2:15" ht="15.75" customHeight="1" x14ac:dyDescent="0.3">
      <c r="B542" s="7"/>
      <c r="E542" s="7"/>
      <c r="I542" s="7"/>
      <c r="O542" s="7"/>
    </row>
    <row r="543" spans="2:15" ht="15.75" customHeight="1" x14ac:dyDescent="0.3">
      <c r="B543" s="7"/>
      <c r="E543" s="7"/>
      <c r="I543" s="7"/>
      <c r="O543" s="7"/>
    </row>
    <row r="544" spans="2:15" ht="15.75" customHeight="1" x14ac:dyDescent="0.3">
      <c r="B544" s="7"/>
      <c r="E544" s="7"/>
      <c r="I544" s="7"/>
      <c r="O544" s="7"/>
    </row>
    <row r="545" spans="2:15" ht="15.75" customHeight="1" x14ac:dyDescent="0.3">
      <c r="B545" s="7"/>
      <c r="E545" s="7"/>
      <c r="I545" s="7"/>
      <c r="O545" s="7"/>
    </row>
    <row r="546" spans="2:15" ht="15.75" customHeight="1" x14ac:dyDescent="0.3">
      <c r="B546" s="7"/>
      <c r="E546" s="7"/>
      <c r="I546" s="7"/>
      <c r="O546" s="7"/>
    </row>
    <row r="547" spans="2:15" ht="15.75" customHeight="1" x14ac:dyDescent="0.3">
      <c r="B547" s="7"/>
      <c r="E547" s="7"/>
      <c r="I547" s="7"/>
      <c r="O547" s="7"/>
    </row>
    <row r="548" spans="2:15" ht="15.75" customHeight="1" x14ac:dyDescent="0.3">
      <c r="B548" s="7"/>
      <c r="E548" s="7"/>
      <c r="I548" s="7"/>
      <c r="O548" s="7"/>
    </row>
    <row r="549" spans="2:15" ht="15.75" customHeight="1" x14ac:dyDescent="0.3">
      <c r="B549" s="7"/>
      <c r="E549" s="7"/>
      <c r="I549" s="7"/>
      <c r="O549" s="7"/>
    </row>
    <row r="550" spans="2:15" ht="15.75" customHeight="1" x14ac:dyDescent="0.3">
      <c r="B550" s="7"/>
      <c r="E550" s="7"/>
      <c r="I550" s="7"/>
      <c r="O550" s="7"/>
    </row>
    <row r="551" spans="2:15" ht="15.75" customHeight="1" x14ac:dyDescent="0.3">
      <c r="B551" s="7"/>
      <c r="E551" s="7"/>
      <c r="I551" s="7"/>
      <c r="O551" s="7"/>
    </row>
    <row r="552" spans="2:15" ht="15.75" customHeight="1" x14ac:dyDescent="0.3">
      <c r="B552" s="7"/>
      <c r="E552" s="7"/>
      <c r="I552" s="7"/>
      <c r="O552" s="7"/>
    </row>
    <row r="553" spans="2:15" ht="15.75" customHeight="1" x14ac:dyDescent="0.3">
      <c r="B553" s="7"/>
      <c r="E553" s="7"/>
      <c r="I553" s="7"/>
      <c r="O553" s="7"/>
    </row>
    <row r="554" spans="2:15" ht="15.75" customHeight="1" x14ac:dyDescent="0.3">
      <c r="B554" s="7"/>
      <c r="E554" s="7"/>
      <c r="I554" s="7"/>
      <c r="O554" s="7"/>
    </row>
    <row r="555" spans="2:15" ht="15.75" customHeight="1" x14ac:dyDescent="0.3">
      <c r="B555" s="7"/>
      <c r="E555" s="7"/>
      <c r="I555" s="7"/>
      <c r="O555" s="7"/>
    </row>
    <row r="556" spans="2:15" ht="15.75" customHeight="1" x14ac:dyDescent="0.3">
      <c r="B556" s="7"/>
      <c r="E556" s="7"/>
      <c r="I556" s="7"/>
      <c r="O556" s="7"/>
    </row>
    <row r="557" spans="2:15" ht="15.75" customHeight="1" x14ac:dyDescent="0.3">
      <c r="B557" s="7"/>
      <c r="E557" s="7"/>
      <c r="I557" s="7"/>
      <c r="O557" s="7"/>
    </row>
    <row r="558" spans="2:15" ht="15.75" customHeight="1" x14ac:dyDescent="0.3">
      <c r="B558" s="7"/>
      <c r="E558" s="7"/>
      <c r="I558" s="7"/>
      <c r="O558" s="7"/>
    </row>
    <row r="559" spans="2:15" ht="15.75" customHeight="1" x14ac:dyDescent="0.3">
      <c r="B559" s="7"/>
      <c r="E559" s="7"/>
      <c r="I559" s="7"/>
      <c r="O559" s="7"/>
    </row>
    <row r="560" spans="2:15" ht="15.75" customHeight="1" x14ac:dyDescent="0.3">
      <c r="B560" s="7"/>
      <c r="E560" s="7"/>
      <c r="I560" s="7"/>
      <c r="O560" s="7"/>
    </row>
    <row r="561" spans="2:15" ht="15.75" customHeight="1" x14ac:dyDescent="0.3">
      <c r="B561" s="7"/>
      <c r="E561" s="7"/>
      <c r="I561" s="7"/>
      <c r="O561" s="7"/>
    </row>
    <row r="562" spans="2:15" ht="15.75" customHeight="1" x14ac:dyDescent="0.3">
      <c r="B562" s="7"/>
      <c r="E562" s="7"/>
      <c r="I562" s="7"/>
      <c r="O562" s="7"/>
    </row>
    <row r="563" spans="2:15" ht="15.75" customHeight="1" x14ac:dyDescent="0.3">
      <c r="B563" s="7"/>
      <c r="E563" s="7"/>
      <c r="I563" s="7"/>
      <c r="O563" s="7"/>
    </row>
    <row r="564" spans="2:15" ht="15.75" customHeight="1" x14ac:dyDescent="0.3">
      <c r="B564" s="7"/>
      <c r="E564" s="7"/>
      <c r="I564" s="7"/>
      <c r="O564" s="7"/>
    </row>
    <row r="565" spans="2:15" ht="15.75" customHeight="1" x14ac:dyDescent="0.3">
      <c r="B565" s="7"/>
      <c r="E565" s="7"/>
      <c r="I565" s="7"/>
      <c r="O565" s="7"/>
    </row>
    <row r="566" spans="2:15" ht="15.75" customHeight="1" x14ac:dyDescent="0.3">
      <c r="B566" s="7"/>
      <c r="E566" s="7"/>
      <c r="I566" s="7"/>
      <c r="O566" s="7"/>
    </row>
    <row r="567" spans="2:15" ht="15.75" customHeight="1" x14ac:dyDescent="0.3">
      <c r="B567" s="7"/>
      <c r="E567" s="7"/>
      <c r="I567" s="7"/>
      <c r="O567" s="7"/>
    </row>
    <row r="568" spans="2:15" ht="15.75" customHeight="1" x14ac:dyDescent="0.3">
      <c r="B568" s="7"/>
      <c r="E568" s="7"/>
      <c r="I568" s="7"/>
      <c r="O568" s="7"/>
    </row>
    <row r="569" spans="2:15" ht="15.75" customHeight="1" x14ac:dyDescent="0.3">
      <c r="B569" s="7"/>
      <c r="E569" s="7"/>
      <c r="I569" s="7"/>
      <c r="O569" s="7"/>
    </row>
    <row r="570" spans="2:15" ht="15.75" customHeight="1" x14ac:dyDescent="0.3">
      <c r="B570" s="7"/>
      <c r="E570" s="7"/>
      <c r="I570" s="7"/>
      <c r="O570" s="7"/>
    </row>
    <row r="571" spans="2:15" ht="15.75" customHeight="1" x14ac:dyDescent="0.3">
      <c r="B571" s="7"/>
      <c r="E571" s="7"/>
      <c r="I571" s="7"/>
      <c r="O571" s="7"/>
    </row>
    <row r="572" spans="2:15" ht="15.75" customHeight="1" x14ac:dyDescent="0.3">
      <c r="B572" s="7"/>
      <c r="E572" s="7"/>
      <c r="I572" s="7"/>
      <c r="O572" s="7"/>
    </row>
    <row r="573" spans="2:15" ht="15.75" customHeight="1" x14ac:dyDescent="0.3">
      <c r="B573" s="7"/>
      <c r="E573" s="7"/>
      <c r="I573" s="7"/>
      <c r="O573" s="7"/>
    </row>
    <row r="574" spans="2:15" ht="15.75" customHeight="1" x14ac:dyDescent="0.3">
      <c r="B574" s="7"/>
      <c r="E574" s="7"/>
      <c r="I574" s="7"/>
      <c r="O574" s="7"/>
    </row>
    <row r="575" spans="2:15" ht="15.75" customHeight="1" x14ac:dyDescent="0.3">
      <c r="B575" s="7"/>
      <c r="E575" s="7"/>
      <c r="I575" s="7"/>
      <c r="O575" s="7"/>
    </row>
    <row r="576" spans="2:15" ht="15.75" customHeight="1" x14ac:dyDescent="0.3">
      <c r="B576" s="7"/>
      <c r="E576" s="7"/>
      <c r="I576" s="7"/>
      <c r="O576" s="7"/>
    </row>
    <row r="577" spans="2:15" ht="15.75" customHeight="1" x14ac:dyDescent="0.3">
      <c r="B577" s="7"/>
      <c r="E577" s="7"/>
      <c r="I577" s="7"/>
      <c r="O577" s="7"/>
    </row>
    <row r="578" spans="2:15" ht="15.75" customHeight="1" x14ac:dyDescent="0.3">
      <c r="B578" s="7"/>
      <c r="E578" s="7"/>
      <c r="I578" s="7"/>
      <c r="O578" s="7"/>
    </row>
    <row r="579" spans="2:15" ht="15.75" customHeight="1" x14ac:dyDescent="0.3">
      <c r="B579" s="7"/>
      <c r="E579" s="7"/>
      <c r="I579" s="7"/>
      <c r="O579" s="7"/>
    </row>
    <row r="580" spans="2:15" ht="15.75" customHeight="1" x14ac:dyDescent="0.3">
      <c r="B580" s="7"/>
      <c r="E580" s="7"/>
      <c r="I580" s="7"/>
      <c r="O580" s="7"/>
    </row>
    <row r="581" spans="2:15" ht="15.75" customHeight="1" x14ac:dyDescent="0.3">
      <c r="B581" s="7"/>
      <c r="E581" s="7"/>
      <c r="I581" s="7"/>
      <c r="O581" s="7"/>
    </row>
    <row r="582" spans="2:15" ht="15.75" customHeight="1" x14ac:dyDescent="0.3">
      <c r="B582" s="7"/>
      <c r="E582" s="7"/>
      <c r="I582" s="7"/>
      <c r="O582" s="7"/>
    </row>
    <row r="583" spans="2:15" ht="15.75" customHeight="1" x14ac:dyDescent="0.3">
      <c r="B583" s="7"/>
      <c r="E583" s="7"/>
      <c r="I583" s="7"/>
      <c r="O583" s="7"/>
    </row>
    <row r="584" spans="2:15" ht="15.75" customHeight="1" x14ac:dyDescent="0.3">
      <c r="B584" s="7"/>
      <c r="E584" s="7"/>
      <c r="I584" s="7"/>
      <c r="O584" s="7"/>
    </row>
    <row r="585" spans="2:15" ht="15.75" customHeight="1" x14ac:dyDescent="0.3">
      <c r="B585" s="7"/>
      <c r="E585" s="7"/>
      <c r="I585" s="7"/>
      <c r="O585" s="7"/>
    </row>
    <row r="586" spans="2:15" ht="15.75" customHeight="1" x14ac:dyDescent="0.3">
      <c r="B586" s="7"/>
      <c r="E586" s="7"/>
      <c r="I586" s="7"/>
      <c r="O586" s="7"/>
    </row>
    <row r="587" spans="2:15" ht="15.75" customHeight="1" x14ac:dyDescent="0.3">
      <c r="B587" s="7"/>
      <c r="E587" s="7"/>
      <c r="I587" s="7"/>
      <c r="O587" s="7"/>
    </row>
    <row r="588" spans="2:15" ht="15.75" customHeight="1" x14ac:dyDescent="0.3">
      <c r="B588" s="7"/>
      <c r="E588" s="7"/>
      <c r="I588" s="7"/>
      <c r="O588" s="7"/>
    </row>
    <row r="589" spans="2:15" ht="15.75" customHeight="1" x14ac:dyDescent="0.3">
      <c r="B589" s="7"/>
      <c r="E589" s="7"/>
      <c r="I589" s="7"/>
      <c r="O589" s="7"/>
    </row>
    <row r="590" spans="2:15" ht="15.75" customHeight="1" x14ac:dyDescent="0.3">
      <c r="B590" s="7"/>
      <c r="E590" s="7"/>
      <c r="I590" s="7"/>
      <c r="O590" s="7"/>
    </row>
    <row r="591" spans="2:15" ht="15.75" customHeight="1" x14ac:dyDescent="0.3">
      <c r="B591" s="7"/>
      <c r="E591" s="7"/>
      <c r="I591" s="7"/>
      <c r="O591" s="7"/>
    </row>
    <row r="592" spans="2:15" ht="15.75" customHeight="1" x14ac:dyDescent="0.3">
      <c r="B592" s="7"/>
      <c r="E592" s="7"/>
      <c r="I592" s="7"/>
      <c r="O592" s="7"/>
    </row>
    <row r="593" spans="2:15" ht="15.75" customHeight="1" x14ac:dyDescent="0.3">
      <c r="B593" s="7"/>
      <c r="E593" s="7"/>
      <c r="I593" s="7"/>
      <c r="O593" s="7"/>
    </row>
    <row r="594" spans="2:15" ht="15.75" customHeight="1" x14ac:dyDescent="0.3">
      <c r="B594" s="7"/>
      <c r="E594" s="7"/>
      <c r="I594" s="7"/>
      <c r="O594" s="7"/>
    </row>
    <row r="595" spans="2:15" ht="15.75" customHeight="1" x14ac:dyDescent="0.3">
      <c r="B595" s="7"/>
      <c r="E595" s="7"/>
      <c r="I595" s="7"/>
      <c r="O595" s="7"/>
    </row>
    <row r="596" spans="2:15" ht="15.75" customHeight="1" x14ac:dyDescent="0.3">
      <c r="B596" s="7"/>
      <c r="E596" s="7"/>
      <c r="I596" s="7"/>
      <c r="O596" s="7"/>
    </row>
    <row r="597" spans="2:15" ht="15.75" customHeight="1" x14ac:dyDescent="0.3">
      <c r="B597" s="7"/>
      <c r="E597" s="7"/>
      <c r="I597" s="7"/>
      <c r="O597" s="7"/>
    </row>
    <row r="598" spans="2:15" ht="15.75" customHeight="1" x14ac:dyDescent="0.3">
      <c r="B598" s="7"/>
      <c r="E598" s="7"/>
      <c r="I598" s="7"/>
      <c r="O598" s="7"/>
    </row>
    <row r="599" spans="2:15" ht="15.75" customHeight="1" x14ac:dyDescent="0.3">
      <c r="B599" s="7"/>
      <c r="E599" s="7"/>
      <c r="I599" s="7"/>
      <c r="O599" s="7"/>
    </row>
    <row r="600" spans="2:15" ht="15.75" customHeight="1" x14ac:dyDescent="0.3">
      <c r="B600" s="7"/>
      <c r="E600" s="7"/>
      <c r="I600" s="7"/>
      <c r="O600" s="7"/>
    </row>
    <row r="601" spans="2:15" ht="15.75" customHeight="1" x14ac:dyDescent="0.3">
      <c r="B601" s="7"/>
      <c r="E601" s="7"/>
      <c r="I601" s="7"/>
      <c r="O601" s="7"/>
    </row>
    <row r="602" spans="2:15" ht="15.75" customHeight="1" x14ac:dyDescent="0.3">
      <c r="B602" s="7"/>
      <c r="E602" s="7"/>
      <c r="I602" s="7"/>
      <c r="O602" s="7"/>
    </row>
    <row r="603" spans="2:15" ht="15.75" customHeight="1" x14ac:dyDescent="0.3">
      <c r="B603" s="7"/>
      <c r="E603" s="7"/>
      <c r="I603" s="7"/>
      <c r="O603" s="7"/>
    </row>
    <row r="604" spans="2:15" ht="15.75" customHeight="1" x14ac:dyDescent="0.3">
      <c r="B604" s="7"/>
      <c r="E604" s="7"/>
      <c r="I604" s="7"/>
      <c r="O604" s="7"/>
    </row>
    <row r="605" spans="2:15" ht="15.75" customHeight="1" x14ac:dyDescent="0.3">
      <c r="B605" s="7"/>
      <c r="E605" s="7"/>
      <c r="I605" s="7"/>
      <c r="O605" s="7"/>
    </row>
    <row r="606" spans="2:15" ht="15.75" customHeight="1" x14ac:dyDescent="0.3">
      <c r="B606" s="7"/>
      <c r="E606" s="7"/>
      <c r="I606" s="7"/>
      <c r="O606" s="7"/>
    </row>
    <row r="607" spans="2:15" ht="15.75" customHeight="1" x14ac:dyDescent="0.3">
      <c r="B607" s="7"/>
      <c r="E607" s="7"/>
      <c r="I607" s="7"/>
      <c r="O607" s="7"/>
    </row>
    <row r="608" spans="2:15" ht="15.75" customHeight="1" x14ac:dyDescent="0.3">
      <c r="B608" s="7"/>
      <c r="E608" s="7"/>
      <c r="I608" s="7"/>
      <c r="O608" s="7"/>
    </row>
    <row r="609" spans="2:15" ht="15.75" customHeight="1" x14ac:dyDescent="0.3">
      <c r="B609" s="7"/>
      <c r="E609" s="7"/>
      <c r="I609" s="7"/>
      <c r="O609" s="7"/>
    </row>
    <row r="610" spans="2:15" ht="15.75" customHeight="1" x14ac:dyDescent="0.3">
      <c r="B610" s="7"/>
      <c r="E610" s="7"/>
      <c r="I610" s="7"/>
      <c r="O610" s="7"/>
    </row>
    <row r="611" spans="2:15" ht="15.75" customHeight="1" x14ac:dyDescent="0.3">
      <c r="B611" s="7"/>
      <c r="E611" s="7"/>
      <c r="I611" s="7"/>
      <c r="O611" s="7"/>
    </row>
    <row r="612" spans="2:15" ht="15.75" customHeight="1" x14ac:dyDescent="0.3">
      <c r="B612" s="7"/>
      <c r="E612" s="7"/>
      <c r="I612" s="7"/>
      <c r="O612" s="7"/>
    </row>
    <row r="613" spans="2:15" ht="15.75" customHeight="1" x14ac:dyDescent="0.3">
      <c r="B613" s="7"/>
      <c r="E613" s="7"/>
      <c r="I613" s="7"/>
      <c r="O613" s="7"/>
    </row>
    <row r="614" spans="2:15" ht="15.75" customHeight="1" x14ac:dyDescent="0.3">
      <c r="B614" s="7"/>
      <c r="E614" s="7"/>
      <c r="I614" s="7"/>
      <c r="O614" s="7"/>
    </row>
    <row r="615" spans="2:15" ht="15.75" customHeight="1" x14ac:dyDescent="0.3">
      <c r="B615" s="7"/>
      <c r="E615" s="7"/>
      <c r="I615" s="7"/>
      <c r="O615" s="7"/>
    </row>
    <row r="616" spans="2:15" ht="15.75" customHeight="1" x14ac:dyDescent="0.3">
      <c r="B616" s="7"/>
      <c r="E616" s="7"/>
      <c r="I616" s="7"/>
      <c r="O616" s="7"/>
    </row>
    <row r="617" spans="2:15" ht="15.75" customHeight="1" x14ac:dyDescent="0.3">
      <c r="B617" s="7"/>
      <c r="E617" s="7"/>
      <c r="I617" s="7"/>
      <c r="O617" s="7"/>
    </row>
    <row r="618" spans="2:15" ht="15.75" customHeight="1" x14ac:dyDescent="0.3">
      <c r="B618" s="7"/>
      <c r="E618" s="7"/>
      <c r="I618" s="7"/>
      <c r="O618" s="7"/>
    </row>
    <row r="619" spans="2:15" ht="15.75" customHeight="1" x14ac:dyDescent="0.3">
      <c r="B619" s="7"/>
      <c r="E619" s="7"/>
      <c r="I619" s="7"/>
      <c r="O619" s="7"/>
    </row>
    <row r="620" spans="2:15" ht="15.75" customHeight="1" x14ac:dyDescent="0.3">
      <c r="B620" s="7"/>
      <c r="E620" s="7"/>
      <c r="I620" s="7"/>
      <c r="O620" s="7"/>
    </row>
    <row r="621" spans="2:15" ht="15.75" customHeight="1" x14ac:dyDescent="0.3">
      <c r="B621" s="7"/>
      <c r="E621" s="7"/>
      <c r="I621" s="7"/>
      <c r="O621" s="7"/>
    </row>
    <row r="622" spans="2:15" ht="15.75" customHeight="1" x14ac:dyDescent="0.3">
      <c r="B622" s="7"/>
      <c r="E622" s="7"/>
      <c r="I622" s="7"/>
      <c r="O622" s="7"/>
    </row>
    <row r="623" spans="2:15" ht="15.75" customHeight="1" x14ac:dyDescent="0.3">
      <c r="B623" s="7"/>
      <c r="E623" s="7"/>
      <c r="I623" s="7"/>
      <c r="O623" s="7"/>
    </row>
    <row r="624" spans="2:15" ht="15.75" customHeight="1" x14ac:dyDescent="0.3">
      <c r="B624" s="7"/>
      <c r="E624" s="7"/>
      <c r="I624" s="7"/>
      <c r="O624" s="7"/>
    </row>
    <row r="625" spans="2:15" ht="15.75" customHeight="1" x14ac:dyDescent="0.3">
      <c r="B625" s="7"/>
      <c r="E625" s="7"/>
      <c r="I625" s="7"/>
      <c r="O625" s="7"/>
    </row>
    <row r="626" spans="2:15" ht="15.75" customHeight="1" x14ac:dyDescent="0.3">
      <c r="B626" s="7"/>
      <c r="E626" s="7"/>
      <c r="I626" s="7"/>
      <c r="O626" s="7"/>
    </row>
    <row r="627" spans="2:15" ht="15.75" customHeight="1" x14ac:dyDescent="0.3">
      <c r="B627" s="7"/>
      <c r="E627" s="7"/>
      <c r="I627" s="7"/>
      <c r="O627" s="7"/>
    </row>
    <row r="628" spans="2:15" ht="15.75" customHeight="1" x14ac:dyDescent="0.3">
      <c r="B628" s="7"/>
      <c r="E628" s="7"/>
      <c r="I628" s="7"/>
      <c r="O628" s="7"/>
    </row>
    <row r="629" spans="2:15" ht="15.75" customHeight="1" x14ac:dyDescent="0.3">
      <c r="B629" s="7"/>
      <c r="E629" s="7"/>
      <c r="I629" s="7"/>
      <c r="O629" s="7"/>
    </row>
    <row r="630" spans="2:15" ht="15.75" customHeight="1" x14ac:dyDescent="0.3">
      <c r="B630" s="7"/>
      <c r="E630" s="7"/>
      <c r="I630" s="7"/>
      <c r="O630" s="7"/>
    </row>
    <row r="631" spans="2:15" ht="15.75" customHeight="1" x14ac:dyDescent="0.3">
      <c r="B631" s="7"/>
      <c r="E631" s="7"/>
      <c r="I631" s="7"/>
      <c r="O631" s="7"/>
    </row>
    <row r="632" spans="2:15" ht="15.75" customHeight="1" x14ac:dyDescent="0.3">
      <c r="B632" s="7"/>
      <c r="E632" s="7"/>
      <c r="I632" s="7"/>
      <c r="O632" s="7"/>
    </row>
    <row r="633" spans="2:15" ht="15.75" customHeight="1" x14ac:dyDescent="0.3">
      <c r="B633" s="7"/>
      <c r="E633" s="7"/>
      <c r="I633" s="7"/>
      <c r="O633" s="7"/>
    </row>
    <row r="634" spans="2:15" ht="15.75" customHeight="1" x14ac:dyDescent="0.3">
      <c r="B634" s="7"/>
      <c r="E634" s="7"/>
      <c r="I634" s="7"/>
      <c r="O634" s="7"/>
    </row>
    <row r="635" spans="2:15" ht="15.75" customHeight="1" x14ac:dyDescent="0.3">
      <c r="B635" s="7"/>
      <c r="E635" s="7"/>
      <c r="I635" s="7"/>
      <c r="O635" s="7"/>
    </row>
    <row r="636" spans="2:15" ht="15.75" customHeight="1" x14ac:dyDescent="0.3">
      <c r="B636" s="7"/>
      <c r="E636" s="7"/>
      <c r="I636" s="7"/>
      <c r="O636" s="7"/>
    </row>
    <row r="637" spans="2:15" ht="15.75" customHeight="1" x14ac:dyDescent="0.3">
      <c r="B637" s="7"/>
      <c r="E637" s="7"/>
      <c r="I637" s="7"/>
      <c r="O637" s="7"/>
    </row>
    <row r="638" spans="2:15" ht="15.75" customHeight="1" x14ac:dyDescent="0.3">
      <c r="B638" s="7"/>
      <c r="E638" s="7"/>
      <c r="I638" s="7"/>
      <c r="O638" s="7"/>
    </row>
    <row r="639" spans="2:15" ht="15.75" customHeight="1" x14ac:dyDescent="0.3">
      <c r="B639" s="7"/>
      <c r="E639" s="7"/>
      <c r="I639" s="7"/>
      <c r="O639" s="7"/>
    </row>
    <row r="640" spans="2:15" ht="15.75" customHeight="1" x14ac:dyDescent="0.3">
      <c r="B640" s="7"/>
      <c r="E640" s="7"/>
      <c r="I640" s="7"/>
      <c r="O640" s="7"/>
    </row>
    <row r="641" spans="2:15" ht="15.75" customHeight="1" x14ac:dyDescent="0.3">
      <c r="B641" s="7"/>
      <c r="E641" s="7"/>
      <c r="I641" s="7"/>
      <c r="O641" s="7"/>
    </row>
    <row r="642" spans="2:15" ht="15.75" customHeight="1" x14ac:dyDescent="0.3">
      <c r="B642" s="7"/>
      <c r="E642" s="7"/>
      <c r="I642" s="7"/>
      <c r="O642" s="7"/>
    </row>
    <row r="643" spans="2:15" ht="15.75" customHeight="1" x14ac:dyDescent="0.3">
      <c r="B643" s="7"/>
      <c r="E643" s="7"/>
      <c r="I643" s="7"/>
      <c r="O643" s="7"/>
    </row>
    <row r="644" spans="2:15" ht="15.75" customHeight="1" x14ac:dyDescent="0.3">
      <c r="B644" s="7"/>
      <c r="E644" s="7"/>
      <c r="I644" s="7"/>
      <c r="O644" s="7"/>
    </row>
    <row r="645" spans="2:15" ht="15.75" customHeight="1" x14ac:dyDescent="0.3">
      <c r="B645" s="7"/>
      <c r="E645" s="7"/>
      <c r="I645" s="7"/>
      <c r="O645" s="7"/>
    </row>
    <row r="646" spans="2:15" ht="15.75" customHeight="1" x14ac:dyDescent="0.3">
      <c r="B646" s="7"/>
      <c r="E646" s="7"/>
      <c r="I646" s="7"/>
      <c r="O646" s="7"/>
    </row>
    <row r="647" spans="2:15" ht="15.75" customHeight="1" x14ac:dyDescent="0.3">
      <c r="B647" s="7"/>
      <c r="E647" s="7"/>
      <c r="I647" s="7"/>
      <c r="O647" s="7"/>
    </row>
    <row r="648" spans="2:15" ht="15.75" customHeight="1" x14ac:dyDescent="0.3">
      <c r="B648" s="7"/>
      <c r="E648" s="7"/>
      <c r="I648" s="7"/>
      <c r="O648" s="7"/>
    </row>
    <row r="649" spans="2:15" ht="15.75" customHeight="1" x14ac:dyDescent="0.3">
      <c r="B649" s="7"/>
      <c r="E649" s="7"/>
      <c r="I649" s="7"/>
      <c r="O649" s="7"/>
    </row>
    <row r="650" spans="2:15" ht="15.75" customHeight="1" x14ac:dyDescent="0.3">
      <c r="B650" s="7"/>
      <c r="E650" s="7"/>
      <c r="I650" s="7"/>
      <c r="O650" s="7"/>
    </row>
    <row r="651" spans="2:15" ht="15.75" customHeight="1" x14ac:dyDescent="0.3">
      <c r="B651" s="7"/>
      <c r="E651" s="7"/>
      <c r="I651" s="7"/>
      <c r="O651" s="7"/>
    </row>
    <row r="652" spans="2:15" ht="15.75" customHeight="1" x14ac:dyDescent="0.3">
      <c r="B652" s="7"/>
      <c r="E652" s="7"/>
      <c r="I652" s="7"/>
      <c r="O652" s="7"/>
    </row>
    <row r="653" spans="2:15" ht="15.75" customHeight="1" x14ac:dyDescent="0.3">
      <c r="B653" s="7"/>
      <c r="E653" s="7"/>
      <c r="I653" s="7"/>
      <c r="O653" s="7"/>
    </row>
    <row r="654" spans="2:15" ht="15.75" customHeight="1" x14ac:dyDescent="0.3">
      <c r="B654" s="7"/>
      <c r="E654" s="7"/>
      <c r="I654" s="7"/>
      <c r="O654" s="7"/>
    </row>
    <row r="655" spans="2:15" ht="15.75" customHeight="1" x14ac:dyDescent="0.3">
      <c r="B655" s="7"/>
      <c r="E655" s="7"/>
      <c r="I655" s="7"/>
      <c r="O655" s="7"/>
    </row>
    <row r="656" spans="2:15" ht="15.75" customHeight="1" x14ac:dyDescent="0.3">
      <c r="B656" s="7"/>
      <c r="E656" s="7"/>
      <c r="I656" s="7"/>
      <c r="O656" s="7"/>
    </row>
    <row r="657" spans="2:15" ht="15.75" customHeight="1" x14ac:dyDescent="0.3">
      <c r="B657" s="7"/>
      <c r="E657" s="7"/>
      <c r="I657" s="7"/>
      <c r="O657" s="7"/>
    </row>
    <row r="658" spans="2:15" ht="15.75" customHeight="1" x14ac:dyDescent="0.3">
      <c r="B658" s="7"/>
      <c r="E658" s="7"/>
      <c r="I658" s="7"/>
      <c r="O658" s="7"/>
    </row>
    <row r="659" spans="2:15" ht="15.75" customHeight="1" x14ac:dyDescent="0.3">
      <c r="B659" s="7"/>
      <c r="E659" s="7"/>
      <c r="I659" s="7"/>
      <c r="O659" s="7"/>
    </row>
    <row r="660" spans="2:15" ht="15.75" customHeight="1" x14ac:dyDescent="0.3">
      <c r="B660" s="7"/>
      <c r="E660" s="7"/>
      <c r="I660" s="7"/>
      <c r="O660" s="7"/>
    </row>
    <row r="661" spans="2:15" ht="15.75" customHeight="1" x14ac:dyDescent="0.3">
      <c r="B661" s="7"/>
      <c r="E661" s="7"/>
      <c r="I661" s="7"/>
      <c r="O661" s="7"/>
    </row>
    <row r="662" spans="2:15" ht="15.75" customHeight="1" x14ac:dyDescent="0.3">
      <c r="B662" s="7"/>
      <c r="E662" s="7"/>
      <c r="I662" s="7"/>
      <c r="O662" s="7"/>
    </row>
    <row r="663" spans="2:15" ht="15.75" customHeight="1" x14ac:dyDescent="0.3">
      <c r="B663" s="7"/>
      <c r="E663" s="7"/>
      <c r="I663" s="7"/>
      <c r="O663" s="7"/>
    </row>
    <row r="664" spans="2:15" ht="15.75" customHeight="1" x14ac:dyDescent="0.3">
      <c r="B664" s="7"/>
      <c r="E664" s="7"/>
      <c r="I664" s="7"/>
      <c r="O664" s="7"/>
    </row>
    <row r="665" spans="2:15" ht="15.75" customHeight="1" x14ac:dyDescent="0.3">
      <c r="B665" s="7"/>
      <c r="E665" s="7"/>
      <c r="I665" s="7"/>
      <c r="O665" s="7"/>
    </row>
    <row r="666" spans="2:15" ht="15.75" customHeight="1" x14ac:dyDescent="0.3">
      <c r="B666" s="7"/>
      <c r="E666" s="7"/>
      <c r="I666" s="7"/>
      <c r="O666" s="7"/>
    </row>
    <row r="667" spans="2:15" ht="15.75" customHeight="1" x14ac:dyDescent="0.3">
      <c r="B667" s="7"/>
      <c r="E667" s="7"/>
      <c r="I667" s="7"/>
      <c r="O667" s="7"/>
    </row>
    <row r="668" spans="2:15" ht="15.75" customHeight="1" x14ac:dyDescent="0.3">
      <c r="B668" s="7"/>
      <c r="E668" s="7"/>
      <c r="I668" s="7"/>
      <c r="O668" s="7"/>
    </row>
    <row r="669" spans="2:15" ht="15.75" customHeight="1" x14ac:dyDescent="0.3">
      <c r="B669" s="7"/>
      <c r="E669" s="7"/>
      <c r="I669" s="7"/>
      <c r="O669" s="7"/>
    </row>
    <row r="670" spans="2:15" ht="15.75" customHeight="1" x14ac:dyDescent="0.3">
      <c r="B670" s="7"/>
      <c r="E670" s="7"/>
      <c r="I670" s="7"/>
      <c r="O670" s="7"/>
    </row>
    <row r="671" spans="2:15" ht="15.75" customHeight="1" x14ac:dyDescent="0.3">
      <c r="B671" s="7"/>
      <c r="E671" s="7"/>
      <c r="I671" s="7"/>
      <c r="O671" s="7"/>
    </row>
    <row r="672" spans="2:15" ht="15.75" customHeight="1" x14ac:dyDescent="0.3">
      <c r="B672" s="7"/>
      <c r="E672" s="7"/>
      <c r="I672" s="7"/>
      <c r="O672" s="7"/>
    </row>
    <row r="673" spans="2:15" ht="15.75" customHeight="1" x14ac:dyDescent="0.3">
      <c r="B673" s="7"/>
      <c r="E673" s="7"/>
      <c r="I673" s="7"/>
      <c r="O673" s="7"/>
    </row>
    <row r="674" spans="2:15" ht="15.75" customHeight="1" x14ac:dyDescent="0.3">
      <c r="B674" s="7"/>
      <c r="E674" s="7"/>
      <c r="I674" s="7"/>
      <c r="O674" s="7"/>
    </row>
    <row r="675" spans="2:15" ht="15.75" customHeight="1" x14ac:dyDescent="0.3">
      <c r="B675" s="7"/>
      <c r="E675" s="7"/>
      <c r="I675" s="7"/>
      <c r="O675" s="7"/>
    </row>
    <row r="676" spans="2:15" ht="15.75" customHeight="1" x14ac:dyDescent="0.3">
      <c r="B676" s="7"/>
      <c r="E676" s="7"/>
      <c r="I676" s="7"/>
      <c r="O676" s="7"/>
    </row>
    <row r="677" spans="2:15" ht="15.75" customHeight="1" x14ac:dyDescent="0.3">
      <c r="B677" s="7"/>
      <c r="E677" s="7"/>
      <c r="I677" s="7"/>
      <c r="O677" s="7"/>
    </row>
    <row r="678" spans="2:15" ht="15.75" customHeight="1" x14ac:dyDescent="0.3">
      <c r="B678" s="7"/>
      <c r="E678" s="7"/>
      <c r="I678" s="7"/>
      <c r="O678" s="7"/>
    </row>
    <row r="679" spans="2:15" ht="15.75" customHeight="1" x14ac:dyDescent="0.3">
      <c r="B679" s="7"/>
      <c r="E679" s="7"/>
      <c r="I679" s="7"/>
      <c r="O679" s="7"/>
    </row>
    <row r="680" spans="2:15" ht="15.75" customHeight="1" x14ac:dyDescent="0.3">
      <c r="B680" s="7"/>
      <c r="E680" s="7"/>
      <c r="I680" s="7"/>
      <c r="O680" s="7"/>
    </row>
    <row r="681" spans="2:15" ht="15.75" customHeight="1" x14ac:dyDescent="0.3">
      <c r="B681" s="7"/>
      <c r="E681" s="7"/>
      <c r="I681" s="7"/>
      <c r="O681" s="7"/>
    </row>
    <row r="682" spans="2:15" ht="15.75" customHeight="1" x14ac:dyDescent="0.3">
      <c r="B682" s="7"/>
      <c r="E682" s="7"/>
      <c r="I682" s="7"/>
      <c r="O682" s="7"/>
    </row>
    <row r="683" spans="2:15" ht="15.75" customHeight="1" x14ac:dyDescent="0.3">
      <c r="B683" s="7"/>
      <c r="E683" s="7"/>
      <c r="I683" s="7"/>
      <c r="O683" s="7"/>
    </row>
    <row r="684" spans="2:15" ht="15.75" customHeight="1" x14ac:dyDescent="0.3">
      <c r="B684" s="7"/>
      <c r="E684" s="7"/>
      <c r="I684" s="7"/>
      <c r="O684" s="7"/>
    </row>
    <row r="685" spans="2:15" ht="15.75" customHeight="1" x14ac:dyDescent="0.3">
      <c r="B685" s="7"/>
      <c r="E685" s="7"/>
      <c r="I685" s="7"/>
      <c r="O685" s="7"/>
    </row>
    <row r="686" spans="2:15" ht="15.75" customHeight="1" x14ac:dyDescent="0.3">
      <c r="B686" s="7"/>
      <c r="E686" s="7"/>
      <c r="I686" s="7"/>
      <c r="O686" s="7"/>
    </row>
    <row r="687" spans="2:15" ht="15.75" customHeight="1" x14ac:dyDescent="0.3">
      <c r="B687" s="7"/>
      <c r="E687" s="7"/>
      <c r="I687" s="7"/>
      <c r="O687" s="7"/>
    </row>
    <row r="688" spans="2:15" ht="15.75" customHeight="1" x14ac:dyDescent="0.3">
      <c r="B688" s="7"/>
      <c r="E688" s="7"/>
      <c r="I688" s="7"/>
      <c r="O688" s="7"/>
    </row>
    <row r="689" spans="2:15" ht="15.75" customHeight="1" x14ac:dyDescent="0.3">
      <c r="B689" s="7"/>
      <c r="E689" s="7"/>
      <c r="I689" s="7"/>
      <c r="O689" s="7"/>
    </row>
    <row r="690" spans="2:15" ht="15.75" customHeight="1" x14ac:dyDescent="0.3">
      <c r="B690" s="7"/>
      <c r="E690" s="7"/>
      <c r="I690" s="7"/>
      <c r="O690" s="7"/>
    </row>
    <row r="691" spans="2:15" ht="15.75" customHeight="1" x14ac:dyDescent="0.3">
      <c r="B691" s="7"/>
      <c r="E691" s="7"/>
      <c r="I691" s="7"/>
      <c r="O691" s="7"/>
    </row>
    <row r="692" spans="2:15" ht="15.75" customHeight="1" x14ac:dyDescent="0.3">
      <c r="B692" s="7"/>
      <c r="E692" s="7"/>
      <c r="I692" s="7"/>
      <c r="O692" s="7"/>
    </row>
    <row r="693" spans="2:15" ht="15.75" customHeight="1" x14ac:dyDescent="0.3">
      <c r="B693" s="7"/>
      <c r="E693" s="7"/>
      <c r="I693" s="7"/>
      <c r="O693" s="7"/>
    </row>
    <row r="694" spans="2:15" ht="15.75" customHeight="1" x14ac:dyDescent="0.3">
      <c r="B694" s="7"/>
      <c r="E694" s="7"/>
      <c r="I694" s="7"/>
      <c r="O694" s="7"/>
    </row>
    <row r="695" spans="2:15" ht="15.75" customHeight="1" x14ac:dyDescent="0.3">
      <c r="B695" s="7"/>
      <c r="E695" s="7"/>
      <c r="I695" s="7"/>
      <c r="O695" s="7"/>
    </row>
    <row r="696" spans="2:15" ht="15.75" customHeight="1" x14ac:dyDescent="0.3">
      <c r="B696" s="7"/>
      <c r="E696" s="7"/>
      <c r="I696" s="7"/>
      <c r="O696" s="7"/>
    </row>
    <row r="697" spans="2:15" ht="15.75" customHeight="1" x14ac:dyDescent="0.3">
      <c r="B697" s="7"/>
      <c r="E697" s="7"/>
      <c r="I697" s="7"/>
      <c r="O697" s="7"/>
    </row>
    <row r="698" spans="2:15" ht="15.75" customHeight="1" x14ac:dyDescent="0.3">
      <c r="B698" s="7"/>
      <c r="E698" s="7"/>
      <c r="I698" s="7"/>
      <c r="O698" s="7"/>
    </row>
    <row r="699" spans="2:15" ht="15.75" customHeight="1" x14ac:dyDescent="0.3">
      <c r="B699" s="7"/>
      <c r="E699" s="7"/>
      <c r="I699" s="7"/>
      <c r="O699" s="7"/>
    </row>
    <row r="700" spans="2:15" ht="15.75" customHeight="1" x14ac:dyDescent="0.3">
      <c r="B700" s="7"/>
      <c r="E700" s="7"/>
      <c r="I700" s="7"/>
      <c r="O700" s="7"/>
    </row>
    <row r="701" spans="2:15" ht="15.75" customHeight="1" x14ac:dyDescent="0.3">
      <c r="B701" s="7"/>
      <c r="E701" s="7"/>
      <c r="I701" s="7"/>
      <c r="O701" s="7"/>
    </row>
    <row r="702" spans="2:15" ht="15.75" customHeight="1" x14ac:dyDescent="0.3">
      <c r="B702" s="7"/>
      <c r="E702" s="7"/>
      <c r="I702" s="7"/>
      <c r="O702" s="7"/>
    </row>
    <row r="703" spans="2:15" ht="15.75" customHeight="1" x14ac:dyDescent="0.3">
      <c r="B703" s="7"/>
      <c r="E703" s="7"/>
      <c r="I703" s="7"/>
      <c r="O703" s="7"/>
    </row>
    <row r="704" spans="2:15" ht="15.75" customHeight="1" x14ac:dyDescent="0.3">
      <c r="B704" s="7"/>
      <c r="E704" s="7"/>
      <c r="I704" s="7"/>
      <c r="O704" s="7"/>
    </row>
    <row r="705" spans="2:15" ht="15.75" customHeight="1" x14ac:dyDescent="0.3">
      <c r="B705" s="7"/>
      <c r="E705" s="7"/>
      <c r="I705" s="7"/>
      <c r="O705" s="7"/>
    </row>
    <row r="706" spans="2:15" ht="15.75" customHeight="1" x14ac:dyDescent="0.3">
      <c r="B706" s="7"/>
      <c r="E706" s="7"/>
      <c r="I706" s="7"/>
      <c r="O706" s="7"/>
    </row>
    <row r="707" spans="2:15" ht="15.75" customHeight="1" x14ac:dyDescent="0.3">
      <c r="B707" s="7"/>
      <c r="E707" s="7"/>
      <c r="I707" s="7"/>
      <c r="O707" s="7"/>
    </row>
    <row r="708" spans="2:15" ht="15.75" customHeight="1" x14ac:dyDescent="0.3">
      <c r="B708" s="7"/>
      <c r="E708" s="7"/>
      <c r="I708" s="7"/>
      <c r="O708" s="7"/>
    </row>
    <row r="709" spans="2:15" ht="15.75" customHeight="1" x14ac:dyDescent="0.3">
      <c r="B709" s="7"/>
      <c r="E709" s="7"/>
      <c r="I709" s="7"/>
      <c r="O709" s="7"/>
    </row>
    <row r="710" spans="2:15" ht="15.75" customHeight="1" x14ac:dyDescent="0.3">
      <c r="B710" s="7"/>
      <c r="E710" s="7"/>
      <c r="I710" s="7"/>
      <c r="O710" s="7"/>
    </row>
    <row r="711" spans="2:15" ht="15.75" customHeight="1" x14ac:dyDescent="0.3">
      <c r="B711" s="7"/>
      <c r="E711" s="7"/>
      <c r="I711" s="7"/>
      <c r="O711" s="7"/>
    </row>
    <row r="712" spans="2:15" ht="15.75" customHeight="1" x14ac:dyDescent="0.3">
      <c r="B712" s="7"/>
      <c r="E712" s="7"/>
      <c r="I712" s="7"/>
      <c r="O712" s="7"/>
    </row>
    <row r="713" spans="2:15" ht="15.75" customHeight="1" x14ac:dyDescent="0.3">
      <c r="B713" s="7"/>
      <c r="E713" s="7"/>
      <c r="I713" s="7"/>
      <c r="O713" s="7"/>
    </row>
    <row r="714" spans="2:15" ht="15.75" customHeight="1" x14ac:dyDescent="0.3">
      <c r="B714" s="7"/>
      <c r="E714" s="7"/>
      <c r="I714" s="7"/>
      <c r="O714" s="7"/>
    </row>
    <row r="715" spans="2:15" ht="15.75" customHeight="1" x14ac:dyDescent="0.3">
      <c r="B715" s="7"/>
      <c r="E715" s="7"/>
      <c r="I715" s="7"/>
      <c r="O715" s="7"/>
    </row>
    <row r="716" spans="2:15" ht="15.75" customHeight="1" x14ac:dyDescent="0.3">
      <c r="B716" s="7"/>
      <c r="E716" s="7"/>
      <c r="I716" s="7"/>
      <c r="O716" s="7"/>
    </row>
    <row r="717" spans="2:15" ht="15.75" customHeight="1" x14ac:dyDescent="0.3">
      <c r="B717" s="7"/>
      <c r="E717" s="7"/>
      <c r="I717" s="7"/>
      <c r="O717" s="7"/>
    </row>
    <row r="718" spans="2:15" ht="15.75" customHeight="1" x14ac:dyDescent="0.3">
      <c r="B718" s="7"/>
      <c r="E718" s="7"/>
      <c r="I718" s="7"/>
      <c r="O718" s="7"/>
    </row>
    <row r="719" spans="2:15" ht="15.75" customHeight="1" x14ac:dyDescent="0.3">
      <c r="B719" s="7"/>
      <c r="E719" s="7"/>
      <c r="I719" s="7"/>
      <c r="O719" s="7"/>
    </row>
    <row r="720" spans="2:15" ht="15.75" customHeight="1" x14ac:dyDescent="0.3">
      <c r="B720" s="7"/>
      <c r="E720" s="7"/>
      <c r="I720" s="7"/>
      <c r="O720" s="7"/>
    </row>
    <row r="721" spans="2:15" ht="15.75" customHeight="1" x14ac:dyDescent="0.3">
      <c r="B721" s="7"/>
      <c r="E721" s="7"/>
      <c r="I721" s="7"/>
      <c r="O721" s="7"/>
    </row>
    <row r="722" spans="2:15" ht="15.75" customHeight="1" x14ac:dyDescent="0.3">
      <c r="B722" s="7"/>
      <c r="E722" s="7"/>
      <c r="I722" s="7"/>
      <c r="O722" s="7"/>
    </row>
    <row r="723" spans="2:15" ht="15.75" customHeight="1" x14ac:dyDescent="0.3">
      <c r="B723" s="7"/>
      <c r="E723" s="7"/>
      <c r="I723" s="7"/>
      <c r="O723" s="7"/>
    </row>
    <row r="724" spans="2:15" ht="15.75" customHeight="1" x14ac:dyDescent="0.3">
      <c r="B724" s="7"/>
      <c r="E724" s="7"/>
      <c r="I724" s="7"/>
      <c r="O724" s="7"/>
    </row>
    <row r="725" spans="2:15" ht="15.75" customHeight="1" x14ac:dyDescent="0.3">
      <c r="B725" s="7"/>
      <c r="E725" s="7"/>
      <c r="I725" s="7"/>
      <c r="O725" s="7"/>
    </row>
    <row r="726" spans="2:15" ht="15.75" customHeight="1" x14ac:dyDescent="0.3">
      <c r="B726" s="7"/>
      <c r="E726" s="7"/>
      <c r="I726" s="7"/>
      <c r="O726" s="7"/>
    </row>
    <row r="727" spans="2:15" ht="15.75" customHeight="1" x14ac:dyDescent="0.3">
      <c r="B727" s="7"/>
      <c r="E727" s="7"/>
      <c r="I727" s="7"/>
      <c r="O727" s="7"/>
    </row>
    <row r="728" spans="2:15" ht="15.75" customHeight="1" x14ac:dyDescent="0.3">
      <c r="B728" s="7"/>
      <c r="E728" s="7"/>
      <c r="I728" s="7"/>
      <c r="O728" s="7"/>
    </row>
    <row r="729" spans="2:15" ht="15.75" customHeight="1" x14ac:dyDescent="0.3">
      <c r="B729" s="7"/>
      <c r="E729" s="7"/>
      <c r="I729" s="7"/>
      <c r="O729" s="7"/>
    </row>
    <row r="730" spans="2:15" ht="15.75" customHeight="1" x14ac:dyDescent="0.3">
      <c r="B730" s="7"/>
      <c r="E730" s="7"/>
      <c r="I730" s="7"/>
      <c r="O730" s="7"/>
    </row>
    <row r="731" spans="2:15" ht="15.75" customHeight="1" x14ac:dyDescent="0.3">
      <c r="B731" s="7"/>
      <c r="E731" s="7"/>
      <c r="I731" s="7"/>
      <c r="O731" s="7"/>
    </row>
    <row r="732" spans="2:15" ht="15.75" customHeight="1" x14ac:dyDescent="0.3">
      <c r="B732" s="7"/>
      <c r="E732" s="7"/>
      <c r="I732" s="7"/>
      <c r="O732" s="7"/>
    </row>
    <row r="733" spans="2:15" ht="15.75" customHeight="1" x14ac:dyDescent="0.3">
      <c r="B733" s="7"/>
      <c r="E733" s="7"/>
      <c r="I733" s="7"/>
      <c r="O733" s="7"/>
    </row>
    <row r="734" spans="2:15" ht="15.75" customHeight="1" x14ac:dyDescent="0.3">
      <c r="B734" s="7"/>
      <c r="E734" s="7"/>
      <c r="I734" s="7"/>
      <c r="O734" s="7"/>
    </row>
    <row r="735" spans="2:15" ht="15.75" customHeight="1" x14ac:dyDescent="0.3">
      <c r="B735" s="7"/>
      <c r="E735" s="7"/>
      <c r="I735" s="7"/>
      <c r="O735" s="7"/>
    </row>
    <row r="736" spans="2:15" ht="15.75" customHeight="1" x14ac:dyDescent="0.3">
      <c r="B736" s="7"/>
      <c r="E736" s="7"/>
      <c r="I736" s="7"/>
      <c r="O736" s="7"/>
    </row>
    <row r="737" spans="2:15" ht="15.75" customHeight="1" x14ac:dyDescent="0.3">
      <c r="B737" s="7"/>
      <c r="E737" s="7"/>
      <c r="I737" s="7"/>
      <c r="O737" s="7"/>
    </row>
    <row r="738" spans="2:15" ht="15.75" customHeight="1" x14ac:dyDescent="0.3">
      <c r="B738" s="7"/>
      <c r="E738" s="7"/>
      <c r="I738" s="7"/>
      <c r="O738" s="7"/>
    </row>
    <row r="739" spans="2:15" ht="15.75" customHeight="1" x14ac:dyDescent="0.3">
      <c r="B739" s="7"/>
      <c r="E739" s="7"/>
      <c r="I739" s="7"/>
      <c r="O739" s="7"/>
    </row>
    <row r="740" spans="2:15" ht="15.75" customHeight="1" x14ac:dyDescent="0.3">
      <c r="B740" s="7"/>
      <c r="E740" s="7"/>
      <c r="I740" s="7"/>
      <c r="O740" s="7"/>
    </row>
    <row r="741" spans="2:15" ht="15.75" customHeight="1" x14ac:dyDescent="0.3">
      <c r="B741" s="7"/>
      <c r="E741" s="7"/>
      <c r="I741" s="7"/>
      <c r="O741" s="7"/>
    </row>
    <row r="742" spans="2:15" ht="15.75" customHeight="1" x14ac:dyDescent="0.3">
      <c r="B742" s="7"/>
      <c r="E742" s="7"/>
      <c r="I742" s="7"/>
      <c r="O742" s="7"/>
    </row>
    <row r="743" spans="2:15" ht="15.75" customHeight="1" x14ac:dyDescent="0.3">
      <c r="B743" s="7"/>
      <c r="E743" s="7"/>
      <c r="I743" s="7"/>
      <c r="O743" s="7"/>
    </row>
    <row r="744" spans="2:15" ht="15.75" customHeight="1" x14ac:dyDescent="0.3">
      <c r="B744" s="7"/>
      <c r="E744" s="7"/>
      <c r="I744" s="7"/>
      <c r="O744" s="7"/>
    </row>
    <row r="745" spans="2:15" ht="15.75" customHeight="1" x14ac:dyDescent="0.3">
      <c r="B745" s="7"/>
      <c r="E745" s="7"/>
      <c r="I745" s="7"/>
      <c r="O745" s="7"/>
    </row>
    <row r="746" spans="2:15" ht="15.75" customHeight="1" x14ac:dyDescent="0.3">
      <c r="B746" s="7"/>
      <c r="E746" s="7"/>
      <c r="I746" s="7"/>
      <c r="O746" s="7"/>
    </row>
    <row r="747" spans="2:15" ht="15.75" customHeight="1" x14ac:dyDescent="0.3">
      <c r="B747" s="7"/>
      <c r="E747" s="7"/>
      <c r="I747" s="7"/>
      <c r="O747" s="7"/>
    </row>
    <row r="748" spans="2:15" ht="15.75" customHeight="1" x14ac:dyDescent="0.3">
      <c r="B748" s="7"/>
      <c r="E748" s="7"/>
      <c r="I748" s="7"/>
      <c r="O748" s="7"/>
    </row>
    <row r="749" spans="2:15" ht="15.75" customHeight="1" x14ac:dyDescent="0.3">
      <c r="B749" s="7"/>
      <c r="E749" s="7"/>
      <c r="I749" s="7"/>
      <c r="O749" s="7"/>
    </row>
    <row r="750" spans="2:15" ht="15.75" customHeight="1" x14ac:dyDescent="0.3">
      <c r="B750" s="7"/>
      <c r="E750" s="7"/>
      <c r="I750" s="7"/>
      <c r="O750" s="7"/>
    </row>
    <row r="751" spans="2:15" ht="15.75" customHeight="1" x14ac:dyDescent="0.3">
      <c r="B751" s="7"/>
      <c r="E751" s="7"/>
      <c r="I751" s="7"/>
      <c r="O751" s="7"/>
    </row>
    <row r="752" spans="2:15" ht="15.75" customHeight="1" x14ac:dyDescent="0.3">
      <c r="B752" s="7"/>
      <c r="E752" s="7"/>
      <c r="I752" s="7"/>
      <c r="O752" s="7"/>
    </row>
    <row r="753" spans="2:15" ht="15.75" customHeight="1" x14ac:dyDescent="0.3">
      <c r="B753" s="7"/>
      <c r="E753" s="7"/>
      <c r="I753" s="7"/>
      <c r="O753" s="7"/>
    </row>
    <row r="754" spans="2:15" ht="15.75" customHeight="1" x14ac:dyDescent="0.3">
      <c r="B754" s="7"/>
      <c r="E754" s="7"/>
      <c r="I754" s="7"/>
      <c r="O754" s="7"/>
    </row>
    <row r="755" spans="2:15" ht="15.75" customHeight="1" x14ac:dyDescent="0.3">
      <c r="B755" s="7"/>
      <c r="E755" s="7"/>
      <c r="I755" s="7"/>
      <c r="O755" s="7"/>
    </row>
    <row r="756" spans="2:15" ht="15.75" customHeight="1" x14ac:dyDescent="0.3">
      <c r="B756" s="7"/>
      <c r="E756" s="7"/>
      <c r="I756" s="7"/>
      <c r="O756" s="7"/>
    </row>
    <row r="757" spans="2:15" ht="15.75" customHeight="1" x14ac:dyDescent="0.3">
      <c r="B757" s="7"/>
      <c r="E757" s="7"/>
      <c r="I757" s="7"/>
      <c r="O757" s="7"/>
    </row>
    <row r="758" spans="2:15" ht="15.75" customHeight="1" x14ac:dyDescent="0.3">
      <c r="B758" s="7"/>
      <c r="E758" s="7"/>
      <c r="I758" s="7"/>
      <c r="O758" s="7"/>
    </row>
    <row r="759" spans="2:15" ht="15.75" customHeight="1" x14ac:dyDescent="0.3">
      <c r="B759" s="7"/>
      <c r="E759" s="7"/>
      <c r="I759" s="7"/>
      <c r="O759" s="7"/>
    </row>
    <row r="760" spans="2:15" ht="15.75" customHeight="1" x14ac:dyDescent="0.3">
      <c r="B760" s="7"/>
      <c r="E760" s="7"/>
      <c r="I760" s="7"/>
      <c r="O760" s="7"/>
    </row>
    <row r="761" spans="2:15" ht="15.75" customHeight="1" x14ac:dyDescent="0.3">
      <c r="B761" s="7"/>
      <c r="E761" s="7"/>
      <c r="I761" s="7"/>
      <c r="O761" s="7"/>
    </row>
    <row r="762" spans="2:15" ht="15.75" customHeight="1" x14ac:dyDescent="0.3">
      <c r="B762" s="7"/>
      <c r="E762" s="7"/>
      <c r="I762" s="7"/>
      <c r="O762" s="7"/>
    </row>
    <row r="763" spans="2:15" ht="15.75" customHeight="1" x14ac:dyDescent="0.3">
      <c r="B763" s="7"/>
      <c r="E763" s="7"/>
      <c r="I763" s="7"/>
      <c r="O763" s="7"/>
    </row>
    <row r="764" spans="2:15" ht="15.75" customHeight="1" x14ac:dyDescent="0.3">
      <c r="B764" s="7"/>
      <c r="E764" s="7"/>
      <c r="I764" s="7"/>
      <c r="O764" s="7"/>
    </row>
    <row r="765" spans="2:15" ht="15.75" customHeight="1" x14ac:dyDescent="0.3">
      <c r="B765" s="7"/>
      <c r="E765" s="7"/>
      <c r="I765" s="7"/>
      <c r="O765" s="7"/>
    </row>
    <row r="766" spans="2:15" ht="15.75" customHeight="1" x14ac:dyDescent="0.3">
      <c r="B766" s="7"/>
      <c r="E766" s="7"/>
      <c r="I766" s="7"/>
      <c r="O766" s="7"/>
    </row>
    <row r="767" spans="2:15" ht="15.75" customHeight="1" x14ac:dyDescent="0.3">
      <c r="B767" s="7"/>
      <c r="E767" s="7"/>
      <c r="I767" s="7"/>
      <c r="O767" s="7"/>
    </row>
    <row r="768" spans="2:15" ht="15.75" customHeight="1" x14ac:dyDescent="0.3">
      <c r="B768" s="7"/>
      <c r="E768" s="7"/>
      <c r="I768" s="7"/>
      <c r="O768" s="7"/>
    </row>
    <row r="769" spans="2:15" ht="15.75" customHeight="1" x14ac:dyDescent="0.3">
      <c r="B769" s="7"/>
      <c r="E769" s="7"/>
      <c r="I769" s="7"/>
      <c r="O769" s="7"/>
    </row>
    <row r="770" spans="2:15" ht="15.75" customHeight="1" x14ac:dyDescent="0.3">
      <c r="B770" s="7"/>
      <c r="E770" s="7"/>
      <c r="I770" s="7"/>
      <c r="O770" s="7"/>
    </row>
    <row r="771" spans="2:15" ht="15.75" customHeight="1" x14ac:dyDescent="0.3">
      <c r="B771" s="7"/>
      <c r="E771" s="7"/>
      <c r="I771" s="7"/>
      <c r="O771" s="7"/>
    </row>
    <row r="772" spans="2:15" ht="15.75" customHeight="1" x14ac:dyDescent="0.3">
      <c r="B772" s="7"/>
      <c r="E772" s="7"/>
      <c r="I772" s="7"/>
      <c r="O772" s="7"/>
    </row>
    <row r="773" spans="2:15" ht="15.75" customHeight="1" x14ac:dyDescent="0.3">
      <c r="B773" s="7"/>
      <c r="E773" s="7"/>
      <c r="I773" s="7"/>
      <c r="O773" s="7"/>
    </row>
    <row r="774" spans="2:15" ht="15.75" customHeight="1" x14ac:dyDescent="0.3">
      <c r="B774" s="7"/>
      <c r="E774" s="7"/>
      <c r="I774" s="7"/>
      <c r="O774" s="7"/>
    </row>
    <row r="775" spans="2:15" ht="15.75" customHeight="1" x14ac:dyDescent="0.3">
      <c r="B775" s="7"/>
      <c r="E775" s="7"/>
      <c r="I775" s="7"/>
      <c r="O775" s="7"/>
    </row>
    <row r="776" spans="2:15" ht="15.75" customHeight="1" x14ac:dyDescent="0.3">
      <c r="B776" s="7"/>
      <c r="E776" s="7"/>
      <c r="I776" s="7"/>
      <c r="O776" s="7"/>
    </row>
    <row r="777" spans="2:15" ht="15.75" customHeight="1" x14ac:dyDescent="0.3">
      <c r="B777" s="7"/>
      <c r="E777" s="7"/>
      <c r="I777" s="7"/>
      <c r="O777" s="7"/>
    </row>
    <row r="778" spans="2:15" ht="15.75" customHeight="1" x14ac:dyDescent="0.3">
      <c r="B778" s="7"/>
      <c r="E778" s="7"/>
      <c r="I778" s="7"/>
      <c r="O778" s="7"/>
    </row>
    <row r="779" spans="2:15" ht="15.75" customHeight="1" x14ac:dyDescent="0.3">
      <c r="B779" s="7"/>
      <c r="E779" s="7"/>
      <c r="I779" s="7"/>
      <c r="O779" s="7"/>
    </row>
    <row r="780" spans="2:15" ht="15.75" customHeight="1" x14ac:dyDescent="0.3">
      <c r="B780" s="7"/>
      <c r="E780" s="7"/>
      <c r="I780" s="7"/>
      <c r="O780" s="7"/>
    </row>
    <row r="781" spans="2:15" ht="15.75" customHeight="1" x14ac:dyDescent="0.3">
      <c r="B781" s="7"/>
      <c r="E781" s="7"/>
      <c r="I781" s="7"/>
      <c r="O781" s="7"/>
    </row>
    <row r="782" spans="2:15" ht="15.75" customHeight="1" x14ac:dyDescent="0.3">
      <c r="B782" s="7"/>
      <c r="E782" s="7"/>
      <c r="I782" s="7"/>
      <c r="O782" s="7"/>
    </row>
    <row r="783" spans="2:15" ht="15.75" customHeight="1" x14ac:dyDescent="0.3">
      <c r="B783" s="7"/>
      <c r="E783" s="7"/>
      <c r="I783" s="7"/>
      <c r="O783" s="7"/>
    </row>
    <row r="784" spans="2:15" ht="15.75" customHeight="1" x14ac:dyDescent="0.3">
      <c r="B784" s="7"/>
      <c r="E784" s="7"/>
      <c r="I784" s="7"/>
      <c r="O784" s="7"/>
    </row>
    <row r="785" spans="2:15" ht="15.75" customHeight="1" x14ac:dyDescent="0.3">
      <c r="B785" s="7"/>
      <c r="E785" s="7"/>
      <c r="I785" s="7"/>
      <c r="O785" s="7"/>
    </row>
    <row r="786" spans="2:15" ht="15.75" customHeight="1" x14ac:dyDescent="0.3">
      <c r="B786" s="7"/>
      <c r="E786" s="7"/>
      <c r="I786" s="7"/>
      <c r="O786" s="7"/>
    </row>
    <row r="787" spans="2:15" ht="15.75" customHeight="1" x14ac:dyDescent="0.3">
      <c r="B787" s="7"/>
      <c r="E787" s="7"/>
      <c r="I787" s="7"/>
      <c r="O787" s="7"/>
    </row>
    <row r="788" spans="2:15" ht="15.75" customHeight="1" x14ac:dyDescent="0.3">
      <c r="B788" s="7"/>
      <c r="E788" s="7"/>
      <c r="I788" s="7"/>
      <c r="O788" s="7"/>
    </row>
    <row r="789" spans="2:15" ht="15.75" customHeight="1" x14ac:dyDescent="0.3">
      <c r="B789" s="7"/>
      <c r="E789" s="7"/>
      <c r="I789" s="7"/>
      <c r="O789" s="7"/>
    </row>
    <row r="790" spans="2:15" ht="15.75" customHeight="1" x14ac:dyDescent="0.3">
      <c r="B790" s="7"/>
      <c r="E790" s="7"/>
      <c r="I790" s="7"/>
      <c r="O790" s="7"/>
    </row>
    <row r="791" spans="2:15" ht="15.75" customHeight="1" x14ac:dyDescent="0.3">
      <c r="B791" s="7"/>
      <c r="E791" s="7"/>
      <c r="I791" s="7"/>
      <c r="O791" s="7"/>
    </row>
    <row r="792" spans="2:15" ht="15.75" customHeight="1" x14ac:dyDescent="0.3">
      <c r="B792" s="7"/>
      <c r="E792" s="7"/>
      <c r="I792" s="7"/>
      <c r="O792" s="7"/>
    </row>
    <row r="793" spans="2:15" ht="15.75" customHeight="1" x14ac:dyDescent="0.3">
      <c r="B793" s="7"/>
      <c r="E793" s="7"/>
      <c r="I793" s="7"/>
      <c r="O793" s="7"/>
    </row>
    <row r="794" spans="2:15" ht="15.75" customHeight="1" x14ac:dyDescent="0.3">
      <c r="B794" s="7"/>
      <c r="E794" s="7"/>
      <c r="I794" s="7"/>
      <c r="O794" s="7"/>
    </row>
    <row r="795" spans="2:15" ht="15.75" customHeight="1" x14ac:dyDescent="0.3">
      <c r="B795" s="7"/>
      <c r="E795" s="7"/>
      <c r="I795" s="7"/>
      <c r="O795" s="7"/>
    </row>
    <row r="796" spans="2:15" ht="15.75" customHeight="1" x14ac:dyDescent="0.3">
      <c r="B796" s="7"/>
      <c r="E796" s="7"/>
      <c r="I796" s="7"/>
      <c r="O796" s="7"/>
    </row>
    <row r="797" spans="2:15" ht="15.75" customHeight="1" x14ac:dyDescent="0.3">
      <c r="B797" s="7"/>
      <c r="E797" s="7"/>
      <c r="I797" s="7"/>
      <c r="O797" s="7"/>
    </row>
    <row r="798" spans="2:15" ht="15.75" customHeight="1" x14ac:dyDescent="0.3">
      <c r="B798" s="7"/>
      <c r="E798" s="7"/>
      <c r="I798" s="7"/>
      <c r="O798" s="7"/>
    </row>
    <row r="799" spans="2:15" ht="15.75" customHeight="1" x14ac:dyDescent="0.3">
      <c r="B799" s="7"/>
      <c r="E799" s="7"/>
      <c r="I799" s="7"/>
      <c r="O799" s="7"/>
    </row>
    <row r="800" spans="2:15" ht="15.75" customHeight="1" x14ac:dyDescent="0.3">
      <c r="B800" s="7"/>
      <c r="E800" s="7"/>
      <c r="I800" s="7"/>
      <c r="O800" s="7"/>
    </row>
    <row r="801" spans="2:15" ht="15.75" customHeight="1" x14ac:dyDescent="0.3">
      <c r="B801" s="7"/>
      <c r="E801" s="7"/>
      <c r="I801" s="7"/>
      <c r="O801" s="7"/>
    </row>
    <row r="802" spans="2:15" ht="15.75" customHeight="1" x14ac:dyDescent="0.3">
      <c r="B802" s="7"/>
      <c r="E802" s="7"/>
      <c r="I802" s="7"/>
      <c r="O802" s="7"/>
    </row>
    <row r="803" spans="2:15" ht="15.75" customHeight="1" x14ac:dyDescent="0.3">
      <c r="B803" s="7"/>
      <c r="E803" s="7"/>
      <c r="I803" s="7"/>
      <c r="O803" s="7"/>
    </row>
    <row r="804" spans="2:15" ht="15.75" customHeight="1" x14ac:dyDescent="0.3">
      <c r="B804" s="7"/>
      <c r="E804" s="7"/>
      <c r="I804" s="7"/>
      <c r="O804" s="7"/>
    </row>
    <row r="805" spans="2:15" ht="15.75" customHeight="1" x14ac:dyDescent="0.3">
      <c r="B805" s="7"/>
      <c r="E805" s="7"/>
      <c r="I805" s="7"/>
      <c r="O805" s="7"/>
    </row>
    <row r="806" spans="2:15" ht="15.75" customHeight="1" x14ac:dyDescent="0.3">
      <c r="B806" s="7"/>
      <c r="E806" s="7"/>
      <c r="I806" s="7"/>
      <c r="O806" s="7"/>
    </row>
    <row r="807" spans="2:15" ht="15.75" customHeight="1" x14ac:dyDescent="0.3">
      <c r="B807" s="7"/>
      <c r="E807" s="7"/>
      <c r="I807" s="7"/>
      <c r="O807" s="7"/>
    </row>
    <row r="808" spans="2:15" ht="15.75" customHeight="1" x14ac:dyDescent="0.3">
      <c r="B808" s="7"/>
      <c r="E808" s="7"/>
      <c r="I808" s="7"/>
      <c r="O808" s="7"/>
    </row>
    <row r="809" spans="2:15" ht="15.75" customHeight="1" x14ac:dyDescent="0.3">
      <c r="B809" s="7"/>
      <c r="E809" s="7"/>
      <c r="I809" s="7"/>
      <c r="O809" s="7"/>
    </row>
    <row r="810" spans="2:15" ht="15.75" customHeight="1" x14ac:dyDescent="0.3">
      <c r="B810" s="7"/>
      <c r="E810" s="7"/>
      <c r="I810" s="7"/>
      <c r="O810" s="7"/>
    </row>
    <row r="811" spans="2:15" ht="15.75" customHeight="1" x14ac:dyDescent="0.3">
      <c r="B811" s="7"/>
      <c r="E811" s="7"/>
      <c r="I811" s="7"/>
      <c r="O811" s="7"/>
    </row>
    <row r="812" spans="2:15" ht="15.75" customHeight="1" x14ac:dyDescent="0.3">
      <c r="B812" s="7"/>
      <c r="E812" s="7"/>
      <c r="I812" s="7"/>
      <c r="O812" s="7"/>
    </row>
    <row r="813" spans="2:15" ht="15.75" customHeight="1" x14ac:dyDescent="0.3">
      <c r="B813" s="7"/>
      <c r="E813" s="7"/>
      <c r="I813" s="7"/>
      <c r="O813" s="7"/>
    </row>
    <row r="814" spans="2:15" ht="15.75" customHeight="1" x14ac:dyDescent="0.3">
      <c r="B814" s="7"/>
      <c r="E814" s="7"/>
      <c r="I814" s="7"/>
      <c r="O814" s="7"/>
    </row>
    <row r="815" spans="2:15" ht="15.75" customHeight="1" x14ac:dyDescent="0.3">
      <c r="B815" s="7"/>
      <c r="E815" s="7"/>
      <c r="I815" s="7"/>
      <c r="O815" s="7"/>
    </row>
    <row r="816" spans="2:15" ht="15.75" customHeight="1" x14ac:dyDescent="0.3">
      <c r="B816" s="7"/>
      <c r="E816" s="7"/>
      <c r="I816" s="7"/>
      <c r="O816" s="7"/>
    </row>
    <row r="817" spans="2:15" ht="15.75" customHeight="1" x14ac:dyDescent="0.3">
      <c r="B817" s="7"/>
      <c r="E817" s="7"/>
      <c r="I817" s="7"/>
      <c r="O817" s="7"/>
    </row>
    <row r="818" spans="2:15" ht="15.75" customHeight="1" x14ac:dyDescent="0.3">
      <c r="B818" s="7"/>
      <c r="E818" s="7"/>
      <c r="I818" s="7"/>
      <c r="O818" s="7"/>
    </row>
    <row r="819" spans="2:15" ht="15.75" customHeight="1" x14ac:dyDescent="0.3">
      <c r="B819" s="7"/>
      <c r="E819" s="7"/>
      <c r="I819" s="7"/>
      <c r="O819" s="7"/>
    </row>
    <row r="820" spans="2:15" ht="15.75" customHeight="1" x14ac:dyDescent="0.3">
      <c r="B820" s="7"/>
      <c r="E820" s="7"/>
      <c r="I820" s="7"/>
      <c r="O820" s="7"/>
    </row>
    <row r="821" spans="2:15" ht="15.75" customHeight="1" x14ac:dyDescent="0.3">
      <c r="B821" s="7"/>
      <c r="E821" s="7"/>
      <c r="I821" s="7"/>
      <c r="O821" s="7"/>
    </row>
    <row r="822" spans="2:15" ht="15.75" customHeight="1" x14ac:dyDescent="0.3">
      <c r="B822" s="7"/>
      <c r="E822" s="7"/>
      <c r="I822" s="7"/>
      <c r="O822" s="7"/>
    </row>
    <row r="823" spans="2:15" ht="15.75" customHeight="1" x14ac:dyDescent="0.3">
      <c r="B823" s="7"/>
      <c r="E823" s="7"/>
      <c r="I823" s="7"/>
      <c r="O823" s="7"/>
    </row>
    <row r="824" spans="2:15" ht="15.75" customHeight="1" x14ac:dyDescent="0.3">
      <c r="B824" s="7"/>
      <c r="E824" s="7"/>
      <c r="I824" s="7"/>
      <c r="O824" s="7"/>
    </row>
    <row r="825" spans="2:15" ht="15.75" customHeight="1" x14ac:dyDescent="0.3">
      <c r="B825" s="7"/>
      <c r="E825" s="7"/>
      <c r="I825" s="7"/>
      <c r="O825" s="7"/>
    </row>
    <row r="826" spans="2:15" ht="15.75" customHeight="1" x14ac:dyDescent="0.3">
      <c r="B826" s="7"/>
      <c r="E826" s="7"/>
      <c r="I826" s="7"/>
      <c r="O826" s="7"/>
    </row>
    <row r="827" spans="2:15" ht="15.75" customHeight="1" x14ac:dyDescent="0.3">
      <c r="B827" s="7"/>
      <c r="E827" s="7"/>
      <c r="I827" s="7"/>
      <c r="O827" s="7"/>
    </row>
    <row r="828" spans="2:15" ht="15.75" customHeight="1" x14ac:dyDescent="0.3">
      <c r="B828" s="7"/>
      <c r="E828" s="7"/>
      <c r="I828" s="7"/>
      <c r="O828" s="7"/>
    </row>
    <row r="829" spans="2:15" ht="15.75" customHeight="1" x14ac:dyDescent="0.3">
      <c r="B829" s="7"/>
      <c r="E829" s="7"/>
      <c r="I829" s="7"/>
      <c r="O829" s="7"/>
    </row>
    <row r="830" spans="2:15" ht="15.75" customHeight="1" x14ac:dyDescent="0.3">
      <c r="B830" s="7"/>
      <c r="E830" s="7"/>
      <c r="I830" s="7"/>
      <c r="O830" s="7"/>
    </row>
    <row r="831" spans="2:15" ht="15.75" customHeight="1" x14ac:dyDescent="0.3">
      <c r="B831" s="7"/>
      <c r="E831" s="7"/>
      <c r="I831" s="7"/>
      <c r="O831" s="7"/>
    </row>
    <row r="832" spans="2:15" ht="15.75" customHeight="1" x14ac:dyDescent="0.3">
      <c r="B832" s="7"/>
      <c r="E832" s="7"/>
      <c r="I832" s="7"/>
      <c r="O832" s="7"/>
    </row>
    <row r="833" spans="2:15" ht="15.75" customHeight="1" x14ac:dyDescent="0.3">
      <c r="B833" s="7"/>
      <c r="E833" s="7"/>
      <c r="I833" s="7"/>
      <c r="O833" s="7"/>
    </row>
    <row r="834" spans="2:15" ht="15.75" customHeight="1" x14ac:dyDescent="0.3">
      <c r="B834" s="7"/>
      <c r="E834" s="7"/>
      <c r="I834" s="7"/>
      <c r="O834" s="7"/>
    </row>
    <row r="835" spans="2:15" ht="15.75" customHeight="1" x14ac:dyDescent="0.3">
      <c r="B835" s="7"/>
      <c r="E835" s="7"/>
      <c r="I835" s="7"/>
      <c r="O835" s="7"/>
    </row>
    <row r="836" spans="2:15" ht="15.75" customHeight="1" x14ac:dyDescent="0.3">
      <c r="B836" s="7"/>
      <c r="E836" s="7"/>
      <c r="I836" s="7"/>
      <c r="O836" s="7"/>
    </row>
    <row r="837" spans="2:15" ht="15.75" customHeight="1" x14ac:dyDescent="0.3">
      <c r="B837" s="7"/>
      <c r="E837" s="7"/>
      <c r="I837" s="7"/>
      <c r="O837" s="7"/>
    </row>
    <row r="838" spans="2:15" ht="15.75" customHeight="1" x14ac:dyDescent="0.3">
      <c r="B838" s="7"/>
      <c r="E838" s="7"/>
      <c r="I838" s="7"/>
      <c r="O838" s="7"/>
    </row>
    <row r="839" spans="2:15" ht="15.75" customHeight="1" x14ac:dyDescent="0.3">
      <c r="B839" s="7"/>
      <c r="E839" s="7"/>
      <c r="I839" s="7"/>
      <c r="O839" s="7"/>
    </row>
    <row r="840" spans="2:15" ht="15.75" customHeight="1" x14ac:dyDescent="0.3">
      <c r="B840" s="7"/>
      <c r="E840" s="7"/>
      <c r="I840" s="7"/>
      <c r="O840" s="7"/>
    </row>
    <row r="841" spans="2:15" ht="15.75" customHeight="1" x14ac:dyDescent="0.3">
      <c r="B841" s="7"/>
      <c r="E841" s="7"/>
      <c r="I841" s="7"/>
      <c r="O841" s="7"/>
    </row>
    <row r="842" spans="2:15" ht="15.75" customHeight="1" x14ac:dyDescent="0.3">
      <c r="B842" s="7"/>
      <c r="E842" s="7"/>
      <c r="I842" s="7"/>
      <c r="O842" s="7"/>
    </row>
    <row r="843" spans="2:15" ht="15.75" customHeight="1" x14ac:dyDescent="0.3">
      <c r="B843" s="7"/>
      <c r="E843" s="7"/>
      <c r="I843" s="7"/>
      <c r="O843" s="7"/>
    </row>
    <row r="844" spans="2:15" ht="15.75" customHeight="1" x14ac:dyDescent="0.3">
      <c r="B844" s="7"/>
      <c r="E844" s="7"/>
      <c r="I844" s="7"/>
      <c r="O844" s="7"/>
    </row>
    <row r="845" spans="2:15" ht="15.75" customHeight="1" x14ac:dyDescent="0.3">
      <c r="B845" s="7"/>
      <c r="E845" s="7"/>
      <c r="I845" s="7"/>
      <c r="O845" s="7"/>
    </row>
    <row r="846" spans="2:15" ht="15.75" customHeight="1" x14ac:dyDescent="0.3">
      <c r="B846" s="7"/>
      <c r="E846" s="7"/>
      <c r="I846" s="7"/>
      <c r="O846" s="7"/>
    </row>
    <row r="847" spans="2:15" ht="15.75" customHeight="1" x14ac:dyDescent="0.3">
      <c r="B847" s="7"/>
      <c r="E847" s="7"/>
      <c r="I847" s="7"/>
      <c r="O847" s="7"/>
    </row>
    <row r="848" spans="2:15" ht="15.75" customHeight="1" x14ac:dyDescent="0.3">
      <c r="B848" s="7"/>
      <c r="E848" s="7"/>
      <c r="I848" s="7"/>
      <c r="O848" s="7"/>
    </row>
    <row r="849" spans="2:15" ht="15.75" customHeight="1" x14ac:dyDescent="0.3">
      <c r="B849" s="7"/>
      <c r="E849" s="7"/>
      <c r="I849" s="7"/>
      <c r="O849" s="7"/>
    </row>
    <row r="850" spans="2:15" ht="15.75" customHeight="1" x14ac:dyDescent="0.3">
      <c r="B850" s="7"/>
      <c r="E850" s="7"/>
      <c r="I850" s="7"/>
      <c r="O850" s="7"/>
    </row>
    <row r="851" spans="2:15" ht="15.75" customHeight="1" x14ac:dyDescent="0.3">
      <c r="B851" s="7"/>
      <c r="E851" s="7"/>
      <c r="I851" s="7"/>
      <c r="O851" s="7"/>
    </row>
    <row r="852" spans="2:15" ht="15.75" customHeight="1" x14ac:dyDescent="0.3">
      <c r="B852" s="7"/>
      <c r="E852" s="7"/>
      <c r="I852" s="7"/>
      <c r="O852" s="7"/>
    </row>
    <row r="853" spans="2:15" ht="15.75" customHeight="1" x14ac:dyDescent="0.3">
      <c r="B853" s="7"/>
      <c r="E853" s="7"/>
      <c r="I853" s="7"/>
      <c r="O853" s="7"/>
    </row>
    <row r="854" spans="2:15" ht="15.75" customHeight="1" x14ac:dyDescent="0.3">
      <c r="B854" s="7"/>
      <c r="E854" s="7"/>
      <c r="I854" s="7"/>
      <c r="O854" s="7"/>
    </row>
    <row r="855" spans="2:15" ht="15.75" customHeight="1" x14ac:dyDescent="0.3">
      <c r="B855" s="7"/>
      <c r="E855" s="7"/>
      <c r="I855" s="7"/>
      <c r="O855" s="7"/>
    </row>
    <row r="856" spans="2:15" ht="15.75" customHeight="1" x14ac:dyDescent="0.3">
      <c r="B856" s="7"/>
      <c r="E856" s="7"/>
      <c r="I856" s="7"/>
      <c r="O856" s="7"/>
    </row>
    <row r="857" spans="2:15" ht="15.75" customHeight="1" x14ac:dyDescent="0.3">
      <c r="B857" s="7"/>
      <c r="E857" s="7"/>
      <c r="I857" s="7"/>
      <c r="O857" s="7"/>
    </row>
    <row r="858" spans="2:15" ht="15.75" customHeight="1" x14ac:dyDescent="0.3">
      <c r="B858" s="7"/>
      <c r="E858" s="7"/>
      <c r="I858" s="7"/>
      <c r="O858" s="7"/>
    </row>
    <row r="859" spans="2:15" ht="15.75" customHeight="1" x14ac:dyDescent="0.3">
      <c r="B859" s="7"/>
      <c r="E859" s="7"/>
      <c r="I859" s="7"/>
      <c r="O859" s="7"/>
    </row>
    <row r="860" spans="2:15" ht="15.75" customHeight="1" x14ac:dyDescent="0.3">
      <c r="B860" s="7"/>
      <c r="E860" s="7"/>
      <c r="I860" s="7"/>
      <c r="O860" s="7"/>
    </row>
    <row r="861" spans="2:15" ht="15.75" customHeight="1" x14ac:dyDescent="0.3">
      <c r="B861" s="7"/>
      <c r="E861" s="7"/>
      <c r="I861" s="7"/>
      <c r="O861" s="7"/>
    </row>
    <row r="862" spans="2:15" ht="15.75" customHeight="1" x14ac:dyDescent="0.3">
      <c r="B862" s="7"/>
      <c r="E862" s="7"/>
      <c r="I862" s="7"/>
      <c r="O862" s="7"/>
    </row>
    <row r="863" spans="2:15" ht="15.75" customHeight="1" x14ac:dyDescent="0.3">
      <c r="B863" s="7"/>
      <c r="E863" s="7"/>
      <c r="I863" s="7"/>
      <c r="O863" s="7"/>
    </row>
    <row r="864" spans="2:15" ht="15.75" customHeight="1" x14ac:dyDescent="0.3">
      <c r="B864" s="7"/>
      <c r="E864" s="7"/>
      <c r="I864" s="7"/>
      <c r="O864" s="7"/>
    </row>
    <row r="865" spans="2:15" ht="15.75" customHeight="1" x14ac:dyDescent="0.3">
      <c r="B865" s="7"/>
      <c r="E865" s="7"/>
      <c r="I865" s="7"/>
      <c r="O865" s="7"/>
    </row>
    <row r="866" spans="2:15" ht="15.75" customHeight="1" x14ac:dyDescent="0.3">
      <c r="B866" s="7"/>
      <c r="E866" s="7"/>
      <c r="I866" s="7"/>
      <c r="O866" s="7"/>
    </row>
    <row r="867" spans="2:15" ht="15.75" customHeight="1" x14ac:dyDescent="0.3">
      <c r="B867" s="7"/>
      <c r="E867" s="7"/>
      <c r="I867" s="7"/>
      <c r="O867" s="7"/>
    </row>
    <row r="868" spans="2:15" ht="15.75" customHeight="1" x14ac:dyDescent="0.3">
      <c r="B868" s="7"/>
      <c r="E868" s="7"/>
      <c r="I868" s="7"/>
      <c r="O868" s="7"/>
    </row>
    <row r="869" spans="2:15" ht="15.75" customHeight="1" x14ac:dyDescent="0.3">
      <c r="B869" s="7"/>
      <c r="E869" s="7"/>
      <c r="I869" s="7"/>
      <c r="O869" s="7"/>
    </row>
    <row r="870" spans="2:15" ht="15.75" customHeight="1" x14ac:dyDescent="0.3">
      <c r="B870" s="7"/>
      <c r="E870" s="7"/>
      <c r="I870" s="7"/>
      <c r="O870" s="7"/>
    </row>
    <row r="871" spans="2:15" ht="15.75" customHeight="1" x14ac:dyDescent="0.3">
      <c r="B871" s="7"/>
      <c r="E871" s="7"/>
      <c r="I871" s="7"/>
      <c r="O871" s="7"/>
    </row>
    <row r="872" spans="2:15" ht="15.75" customHeight="1" x14ac:dyDescent="0.3">
      <c r="B872" s="7"/>
      <c r="E872" s="7"/>
      <c r="I872" s="7"/>
      <c r="O872" s="7"/>
    </row>
    <row r="873" spans="2:15" ht="15.75" customHeight="1" x14ac:dyDescent="0.3">
      <c r="B873" s="7"/>
      <c r="E873" s="7"/>
      <c r="I873" s="7"/>
      <c r="O873" s="7"/>
    </row>
    <row r="874" spans="2:15" ht="15.75" customHeight="1" x14ac:dyDescent="0.3">
      <c r="B874" s="7"/>
      <c r="E874" s="7"/>
      <c r="I874" s="7"/>
      <c r="O874" s="7"/>
    </row>
    <row r="875" spans="2:15" ht="15.75" customHeight="1" x14ac:dyDescent="0.3">
      <c r="B875" s="7"/>
      <c r="E875" s="7"/>
      <c r="I875" s="7"/>
      <c r="O875" s="7"/>
    </row>
    <row r="876" spans="2:15" ht="15.75" customHeight="1" x14ac:dyDescent="0.3">
      <c r="B876" s="7"/>
      <c r="E876" s="7"/>
      <c r="I876" s="7"/>
      <c r="O876" s="7"/>
    </row>
    <row r="877" spans="2:15" ht="15.75" customHeight="1" x14ac:dyDescent="0.3">
      <c r="B877" s="7"/>
      <c r="E877" s="7"/>
      <c r="I877" s="7"/>
      <c r="O877" s="7"/>
    </row>
    <row r="878" spans="2:15" ht="15.75" customHeight="1" x14ac:dyDescent="0.3">
      <c r="B878" s="7"/>
      <c r="E878" s="7"/>
      <c r="I878" s="7"/>
      <c r="O878" s="7"/>
    </row>
    <row r="879" spans="2:15" ht="15.75" customHeight="1" x14ac:dyDescent="0.3">
      <c r="B879" s="7"/>
      <c r="E879" s="7"/>
      <c r="I879" s="7"/>
      <c r="O879" s="7"/>
    </row>
    <row r="880" spans="2:15" ht="15.75" customHeight="1" x14ac:dyDescent="0.3">
      <c r="B880" s="7"/>
      <c r="E880" s="7"/>
      <c r="I880" s="7"/>
      <c r="O880" s="7"/>
    </row>
    <row r="881" spans="2:15" ht="15.75" customHeight="1" x14ac:dyDescent="0.3">
      <c r="B881" s="7"/>
      <c r="E881" s="7"/>
      <c r="I881" s="7"/>
      <c r="O881" s="7"/>
    </row>
    <row r="882" spans="2:15" ht="15.75" customHeight="1" x14ac:dyDescent="0.3">
      <c r="B882" s="7"/>
      <c r="E882" s="7"/>
      <c r="I882" s="7"/>
      <c r="O882" s="7"/>
    </row>
    <row r="883" spans="2:15" ht="15.75" customHeight="1" x14ac:dyDescent="0.3">
      <c r="B883" s="7"/>
      <c r="E883" s="7"/>
      <c r="I883" s="7"/>
      <c r="O883" s="7"/>
    </row>
    <row r="884" spans="2:15" ht="15.75" customHeight="1" x14ac:dyDescent="0.3">
      <c r="B884" s="7"/>
      <c r="E884" s="7"/>
      <c r="I884" s="7"/>
      <c r="O884" s="7"/>
    </row>
    <row r="885" spans="2:15" ht="15.75" customHeight="1" x14ac:dyDescent="0.3">
      <c r="B885" s="7"/>
      <c r="E885" s="7"/>
      <c r="I885" s="7"/>
      <c r="O885" s="7"/>
    </row>
    <row r="886" spans="2:15" ht="15.75" customHeight="1" x14ac:dyDescent="0.3">
      <c r="B886" s="7"/>
      <c r="E886" s="7"/>
      <c r="I886" s="7"/>
      <c r="O886" s="7"/>
    </row>
    <row r="887" spans="2:15" ht="15.75" customHeight="1" x14ac:dyDescent="0.3">
      <c r="B887" s="7"/>
      <c r="E887" s="7"/>
      <c r="I887" s="7"/>
      <c r="O887" s="7"/>
    </row>
    <row r="888" spans="2:15" ht="15.75" customHeight="1" x14ac:dyDescent="0.3">
      <c r="B888" s="7"/>
      <c r="E888" s="7"/>
      <c r="I888" s="7"/>
      <c r="O888" s="7"/>
    </row>
    <row r="889" spans="2:15" ht="15.75" customHeight="1" x14ac:dyDescent="0.3">
      <c r="B889" s="7"/>
      <c r="E889" s="7"/>
      <c r="I889" s="7"/>
      <c r="O889" s="7"/>
    </row>
    <row r="890" spans="2:15" ht="15.75" customHeight="1" x14ac:dyDescent="0.3">
      <c r="B890" s="7"/>
      <c r="E890" s="7"/>
      <c r="I890" s="7"/>
      <c r="O890" s="7"/>
    </row>
    <row r="891" spans="2:15" ht="15.75" customHeight="1" x14ac:dyDescent="0.3">
      <c r="B891" s="7"/>
      <c r="E891" s="7"/>
      <c r="I891" s="7"/>
      <c r="O891" s="7"/>
    </row>
    <row r="892" spans="2:15" ht="15.75" customHeight="1" x14ac:dyDescent="0.3">
      <c r="B892" s="7"/>
      <c r="E892" s="7"/>
      <c r="I892" s="7"/>
      <c r="O892" s="7"/>
    </row>
    <row r="893" spans="2:15" ht="15.75" customHeight="1" x14ac:dyDescent="0.3">
      <c r="B893" s="7"/>
      <c r="E893" s="7"/>
      <c r="I893" s="7"/>
      <c r="O893" s="7"/>
    </row>
    <row r="894" spans="2:15" ht="15.75" customHeight="1" x14ac:dyDescent="0.3">
      <c r="B894" s="7"/>
      <c r="E894" s="7"/>
      <c r="I894" s="7"/>
      <c r="O894" s="7"/>
    </row>
    <row r="895" spans="2:15" ht="15.75" customHeight="1" x14ac:dyDescent="0.3">
      <c r="B895" s="7"/>
      <c r="E895" s="7"/>
      <c r="I895" s="7"/>
      <c r="O895" s="7"/>
    </row>
    <row r="896" spans="2:15" ht="15.75" customHeight="1" x14ac:dyDescent="0.3">
      <c r="B896" s="7"/>
      <c r="E896" s="7"/>
      <c r="I896" s="7"/>
      <c r="O896" s="7"/>
    </row>
    <row r="897" spans="2:15" ht="15.75" customHeight="1" x14ac:dyDescent="0.3">
      <c r="B897" s="7"/>
      <c r="E897" s="7"/>
      <c r="I897" s="7"/>
      <c r="O897" s="7"/>
    </row>
    <row r="898" spans="2:15" ht="15.75" customHeight="1" x14ac:dyDescent="0.3">
      <c r="B898" s="7"/>
      <c r="E898" s="7"/>
      <c r="I898" s="7"/>
      <c r="O898" s="7"/>
    </row>
    <row r="899" spans="2:15" ht="15.75" customHeight="1" x14ac:dyDescent="0.3">
      <c r="B899" s="7"/>
      <c r="E899" s="7"/>
      <c r="I899" s="7"/>
      <c r="O899" s="7"/>
    </row>
    <row r="900" spans="2:15" ht="15.75" customHeight="1" x14ac:dyDescent="0.3">
      <c r="B900" s="7"/>
      <c r="E900" s="7"/>
      <c r="I900" s="7"/>
      <c r="O900" s="7"/>
    </row>
    <row r="901" spans="2:15" ht="15.75" customHeight="1" x14ac:dyDescent="0.3">
      <c r="B901" s="7"/>
      <c r="E901" s="7"/>
      <c r="I901" s="7"/>
      <c r="O901" s="7"/>
    </row>
    <row r="902" spans="2:15" ht="15.75" customHeight="1" x14ac:dyDescent="0.3">
      <c r="B902" s="7"/>
      <c r="E902" s="7"/>
      <c r="I902" s="7"/>
      <c r="O902" s="7"/>
    </row>
    <row r="903" spans="2:15" ht="15.75" customHeight="1" x14ac:dyDescent="0.3">
      <c r="B903" s="7"/>
      <c r="E903" s="7"/>
      <c r="I903" s="7"/>
      <c r="O903" s="7"/>
    </row>
    <row r="904" spans="2:15" ht="15.75" customHeight="1" x14ac:dyDescent="0.3">
      <c r="B904" s="7"/>
      <c r="E904" s="7"/>
      <c r="I904" s="7"/>
      <c r="O904" s="7"/>
    </row>
    <row r="905" spans="2:15" ht="15.75" customHeight="1" x14ac:dyDescent="0.3">
      <c r="B905" s="7"/>
      <c r="E905" s="7"/>
      <c r="I905" s="7"/>
      <c r="O905" s="7"/>
    </row>
    <row r="906" spans="2:15" ht="15.75" customHeight="1" x14ac:dyDescent="0.3">
      <c r="B906" s="7"/>
      <c r="E906" s="7"/>
      <c r="I906" s="7"/>
      <c r="O906" s="7"/>
    </row>
    <row r="907" spans="2:15" ht="15.75" customHeight="1" x14ac:dyDescent="0.3">
      <c r="B907" s="7"/>
      <c r="E907" s="7"/>
      <c r="I907" s="7"/>
      <c r="O907" s="7"/>
    </row>
    <row r="908" spans="2:15" ht="15.75" customHeight="1" x14ac:dyDescent="0.3">
      <c r="B908" s="7"/>
      <c r="E908" s="7"/>
      <c r="I908" s="7"/>
      <c r="O908" s="7"/>
    </row>
    <row r="909" spans="2:15" ht="15.75" customHeight="1" x14ac:dyDescent="0.3">
      <c r="B909" s="7"/>
      <c r="E909" s="7"/>
      <c r="I909" s="7"/>
      <c r="O909" s="7"/>
    </row>
    <row r="910" spans="2:15" ht="15.75" customHeight="1" x14ac:dyDescent="0.3">
      <c r="B910" s="7"/>
      <c r="E910" s="7"/>
      <c r="I910" s="7"/>
      <c r="O910" s="7"/>
    </row>
    <row r="911" spans="2:15" ht="15.75" customHeight="1" x14ac:dyDescent="0.3">
      <c r="B911" s="7"/>
      <c r="E911" s="7"/>
      <c r="I911" s="7"/>
      <c r="O911" s="7"/>
    </row>
    <row r="912" spans="2:15" ht="15.75" customHeight="1" x14ac:dyDescent="0.3">
      <c r="B912" s="7"/>
      <c r="E912" s="7"/>
      <c r="I912" s="7"/>
      <c r="O912" s="7"/>
    </row>
    <row r="913" spans="2:15" ht="15.75" customHeight="1" x14ac:dyDescent="0.3">
      <c r="B913" s="7"/>
      <c r="E913" s="7"/>
      <c r="I913" s="7"/>
      <c r="O913" s="7"/>
    </row>
    <row r="914" spans="2:15" ht="15.75" customHeight="1" x14ac:dyDescent="0.3">
      <c r="B914" s="7"/>
      <c r="E914" s="7"/>
      <c r="I914" s="7"/>
      <c r="O914" s="7"/>
    </row>
    <row r="915" spans="2:15" ht="15.75" customHeight="1" x14ac:dyDescent="0.3">
      <c r="B915" s="7"/>
      <c r="E915" s="7"/>
      <c r="I915" s="7"/>
      <c r="O915" s="7"/>
    </row>
    <row r="916" spans="2:15" ht="15.75" customHeight="1" x14ac:dyDescent="0.3">
      <c r="B916" s="7"/>
      <c r="E916" s="7"/>
      <c r="I916" s="7"/>
      <c r="O916" s="7"/>
    </row>
    <row r="917" spans="2:15" ht="15.75" customHeight="1" x14ac:dyDescent="0.3">
      <c r="B917" s="7"/>
      <c r="E917" s="7"/>
      <c r="I917" s="7"/>
      <c r="O917" s="7"/>
    </row>
    <row r="918" spans="2:15" ht="15.75" customHeight="1" x14ac:dyDescent="0.3">
      <c r="B918" s="7"/>
      <c r="E918" s="7"/>
      <c r="I918" s="7"/>
      <c r="O918" s="7"/>
    </row>
    <row r="919" spans="2:15" ht="15.75" customHeight="1" x14ac:dyDescent="0.3">
      <c r="B919" s="7"/>
      <c r="E919" s="7"/>
      <c r="I919" s="7"/>
      <c r="O919" s="7"/>
    </row>
    <row r="920" spans="2:15" ht="15.75" customHeight="1" x14ac:dyDescent="0.3">
      <c r="B920" s="7"/>
      <c r="E920" s="7"/>
      <c r="I920" s="7"/>
      <c r="O920" s="7"/>
    </row>
    <row r="921" spans="2:15" ht="15.75" customHeight="1" x14ac:dyDescent="0.3">
      <c r="B921" s="7"/>
      <c r="E921" s="7"/>
      <c r="I921" s="7"/>
      <c r="O921" s="7"/>
    </row>
    <row r="922" spans="2:15" ht="15.75" customHeight="1" x14ac:dyDescent="0.3">
      <c r="B922" s="7"/>
      <c r="E922" s="7"/>
      <c r="I922" s="7"/>
      <c r="O922" s="7"/>
    </row>
    <row r="923" spans="2:15" ht="15.75" customHeight="1" x14ac:dyDescent="0.3">
      <c r="B923" s="7"/>
      <c r="E923" s="7"/>
      <c r="I923" s="7"/>
      <c r="O923" s="7"/>
    </row>
    <row r="924" spans="2:15" ht="15.75" customHeight="1" x14ac:dyDescent="0.3">
      <c r="B924" s="7"/>
      <c r="E924" s="7"/>
      <c r="I924" s="7"/>
      <c r="O924" s="7"/>
    </row>
    <row r="925" spans="2:15" ht="15.75" customHeight="1" x14ac:dyDescent="0.3">
      <c r="B925" s="7"/>
      <c r="E925" s="7"/>
      <c r="I925" s="7"/>
      <c r="O925" s="7"/>
    </row>
    <row r="926" spans="2:15" ht="15.75" customHeight="1" x14ac:dyDescent="0.3">
      <c r="B926" s="7"/>
      <c r="E926" s="7"/>
      <c r="I926" s="7"/>
      <c r="O926" s="7"/>
    </row>
    <row r="927" spans="2:15" ht="15.75" customHeight="1" x14ac:dyDescent="0.3">
      <c r="B927" s="7"/>
      <c r="E927" s="7"/>
      <c r="I927" s="7"/>
      <c r="O927" s="7"/>
    </row>
    <row r="928" spans="2:15" ht="15.75" customHeight="1" x14ac:dyDescent="0.3">
      <c r="B928" s="7"/>
      <c r="E928" s="7"/>
      <c r="I928" s="7"/>
      <c r="O928" s="7"/>
    </row>
    <row r="929" spans="2:15" ht="15.75" customHeight="1" x14ac:dyDescent="0.3">
      <c r="B929" s="7"/>
      <c r="E929" s="7"/>
      <c r="I929" s="7"/>
      <c r="O929" s="7"/>
    </row>
    <row r="930" spans="2:15" ht="15.75" customHeight="1" x14ac:dyDescent="0.3">
      <c r="B930" s="7"/>
      <c r="E930" s="7"/>
      <c r="I930" s="7"/>
      <c r="O930" s="7"/>
    </row>
    <row r="931" spans="2:15" ht="15.75" customHeight="1" x14ac:dyDescent="0.3">
      <c r="B931" s="7"/>
      <c r="E931" s="7"/>
      <c r="I931" s="7"/>
      <c r="O931" s="7"/>
    </row>
    <row r="932" spans="2:15" ht="15.75" customHeight="1" x14ac:dyDescent="0.3">
      <c r="B932" s="7"/>
      <c r="E932" s="7"/>
      <c r="I932" s="7"/>
      <c r="O932" s="7"/>
    </row>
    <row r="933" spans="2:15" ht="15.75" customHeight="1" x14ac:dyDescent="0.3">
      <c r="B933" s="7"/>
      <c r="E933" s="7"/>
      <c r="I933" s="7"/>
      <c r="O933" s="7"/>
    </row>
    <row r="934" spans="2:15" ht="15.75" customHeight="1" x14ac:dyDescent="0.3">
      <c r="B934" s="7"/>
      <c r="E934" s="7"/>
      <c r="I934" s="7"/>
      <c r="O934" s="7"/>
    </row>
    <row r="935" spans="2:15" ht="15.75" customHeight="1" x14ac:dyDescent="0.3">
      <c r="B935" s="7"/>
      <c r="E935" s="7"/>
      <c r="I935" s="7"/>
      <c r="O935" s="7"/>
    </row>
    <row r="936" spans="2:15" ht="15.75" customHeight="1" x14ac:dyDescent="0.3">
      <c r="B936" s="7"/>
      <c r="E936" s="7"/>
      <c r="I936" s="7"/>
      <c r="O936" s="7"/>
    </row>
    <row r="937" spans="2:15" ht="15.75" customHeight="1" x14ac:dyDescent="0.3">
      <c r="B937" s="7"/>
      <c r="E937" s="7"/>
      <c r="I937" s="7"/>
      <c r="O937" s="7"/>
    </row>
    <row r="938" spans="2:15" ht="15.75" customHeight="1" x14ac:dyDescent="0.3">
      <c r="B938" s="7"/>
      <c r="E938" s="7"/>
      <c r="I938" s="7"/>
      <c r="O938" s="7"/>
    </row>
    <row r="939" spans="2:15" ht="15.75" customHeight="1" x14ac:dyDescent="0.3">
      <c r="B939" s="7"/>
      <c r="E939" s="7"/>
      <c r="I939" s="7"/>
      <c r="O939" s="7"/>
    </row>
    <row r="940" spans="2:15" ht="15.75" customHeight="1" x14ac:dyDescent="0.3">
      <c r="B940" s="7"/>
      <c r="E940" s="7"/>
      <c r="I940" s="7"/>
      <c r="O940" s="7"/>
    </row>
    <row r="941" spans="2:15" ht="15.75" customHeight="1" x14ac:dyDescent="0.3">
      <c r="B941" s="7"/>
      <c r="E941" s="7"/>
      <c r="I941" s="7"/>
      <c r="O941" s="7"/>
    </row>
    <row r="942" spans="2:15" ht="15.75" customHeight="1" x14ac:dyDescent="0.3">
      <c r="B942" s="7"/>
      <c r="E942" s="7"/>
      <c r="I942" s="7"/>
      <c r="O942" s="7"/>
    </row>
    <row r="943" spans="2:15" ht="15.75" customHeight="1" x14ac:dyDescent="0.3">
      <c r="B943" s="7"/>
      <c r="E943" s="7"/>
      <c r="I943" s="7"/>
      <c r="O943" s="7"/>
    </row>
    <row r="944" spans="2:15" ht="15.75" customHeight="1" x14ac:dyDescent="0.3">
      <c r="B944" s="7"/>
      <c r="E944" s="7"/>
      <c r="I944" s="7"/>
      <c r="O944" s="7"/>
    </row>
    <row r="945" spans="2:15" ht="15.75" customHeight="1" x14ac:dyDescent="0.3">
      <c r="B945" s="7"/>
      <c r="E945" s="7"/>
      <c r="I945" s="7"/>
      <c r="O945" s="7"/>
    </row>
    <row r="946" spans="2:15" ht="15.75" customHeight="1" x14ac:dyDescent="0.3">
      <c r="B946" s="7"/>
      <c r="E946" s="7"/>
      <c r="I946" s="7"/>
      <c r="O946" s="7"/>
    </row>
    <row r="947" spans="2:15" ht="15.75" customHeight="1" x14ac:dyDescent="0.3">
      <c r="B947" s="7"/>
      <c r="E947" s="7"/>
      <c r="I947" s="7"/>
      <c r="O947" s="7"/>
    </row>
    <row r="948" spans="2:15" ht="15.75" customHeight="1" x14ac:dyDescent="0.3">
      <c r="B948" s="7"/>
      <c r="E948" s="7"/>
      <c r="I948" s="7"/>
      <c r="O948" s="7"/>
    </row>
    <row r="949" spans="2:15" ht="15.75" customHeight="1" x14ac:dyDescent="0.3">
      <c r="B949" s="7"/>
      <c r="E949" s="7"/>
      <c r="I949" s="7"/>
      <c r="O949" s="7"/>
    </row>
    <row r="950" spans="2:15" ht="15.75" customHeight="1" x14ac:dyDescent="0.3">
      <c r="B950" s="7"/>
      <c r="E950" s="7"/>
      <c r="I950" s="7"/>
      <c r="O950" s="7"/>
    </row>
    <row r="951" spans="2:15" ht="15.75" customHeight="1" x14ac:dyDescent="0.3">
      <c r="B951" s="7"/>
      <c r="E951" s="7"/>
      <c r="I951" s="7"/>
      <c r="O951" s="7"/>
    </row>
    <row r="952" spans="2:15" ht="15.75" customHeight="1" x14ac:dyDescent="0.3">
      <c r="B952" s="7"/>
      <c r="E952" s="7"/>
      <c r="I952" s="7"/>
      <c r="O952" s="7"/>
    </row>
    <row r="953" spans="2:15" ht="15.75" customHeight="1" x14ac:dyDescent="0.3">
      <c r="B953" s="7"/>
      <c r="E953" s="7"/>
      <c r="I953" s="7"/>
      <c r="O953" s="7"/>
    </row>
    <row r="954" spans="2:15" ht="15.75" customHeight="1" x14ac:dyDescent="0.3">
      <c r="B954" s="7"/>
      <c r="E954" s="7"/>
      <c r="I954" s="7"/>
      <c r="O954" s="7"/>
    </row>
    <row r="955" spans="2:15" ht="15.75" customHeight="1" x14ac:dyDescent="0.3">
      <c r="B955" s="7"/>
      <c r="E955" s="7"/>
      <c r="I955" s="7"/>
      <c r="O955" s="7"/>
    </row>
    <row r="956" spans="2:15" ht="15.75" customHeight="1" x14ac:dyDescent="0.3">
      <c r="B956" s="7"/>
      <c r="E956" s="7"/>
      <c r="I956" s="7"/>
      <c r="O956" s="7"/>
    </row>
    <row r="957" spans="2:15" ht="15.75" customHeight="1" x14ac:dyDescent="0.3">
      <c r="B957" s="7"/>
      <c r="E957" s="7"/>
      <c r="I957" s="7"/>
      <c r="O957" s="7"/>
    </row>
    <row r="958" spans="2:15" ht="15.75" customHeight="1" x14ac:dyDescent="0.3">
      <c r="B958" s="7"/>
      <c r="E958" s="7"/>
      <c r="I958" s="7"/>
      <c r="O958" s="7"/>
    </row>
    <row r="959" spans="2:15" ht="15.75" customHeight="1" x14ac:dyDescent="0.3">
      <c r="B959" s="7"/>
      <c r="E959" s="7"/>
      <c r="I959" s="7"/>
      <c r="O959" s="7"/>
    </row>
    <row r="960" spans="2:15" ht="15.75" customHeight="1" x14ac:dyDescent="0.3">
      <c r="B960" s="7"/>
      <c r="E960" s="7"/>
      <c r="I960" s="7"/>
      <c r="O960" s="7"/>
    </row>
    <row r="961" spans="2:15" ht="15.75" customHeight="1" x14ac:dyDescent="0.3">
      <c r="B961" s="7"/>
      <c r="E961" s="7"/>
      <c r="I961" s="7"/>
      <c r="O961" s="7"/>
    </row>
    <row r="962" spans="2:15" ht="15.75" customHeight="1" x14ac:dyDescent="0.3">
      <c r="B962" s="7"/>
      <c r="E962" s="7"/>
      <c r="I962" s="7"/>
      <c r="O962" s="7"/>
    </row>
    <row r="963" spans="2:15" ht="15.75" customHeight="1" x14ac:dyDescent="0.3">
      <c r="B963" s="7"/>
      <c r="E963" s="7"/>
      <c r="I963" s="7"/>
      <c r="O963" s="7"/>
    </row>
    <row r="964" spans="2:15" ht="15.75" customHeight="1" x14ac:dyDescent="0.3">
      <c r="B964" s="7"/>
      <c r="E964" s="7"/>
      <c r="I964" s="7"/>
      <c r="O964" s="7"/>
    </row>
    <row r="965" spans="2:15" ht="15.75" customHeight="1" x14ac:dyDescent="0.3">
      <c r="B965" s="7"/>
      <c r="E965" s="7"/>
      <c r="I965" s="7"/>
      <c r="O965" s="7"/>
    </row>
    <row r="966" spans="2:15" ht="15.75" customHeight="1" x14ac:dyDescent="0.3">
      <c r="B966" s="7"/>
      <c r="E966" s="7"/>
      <c r="I966" s="7"/>
      <c r="O966" s="7"/>
    </row>
    <row r="967" spans="2:15" ht="15.75" customHeight="1" x14ac:dyDescent="0.3">
      <c r="B967" s="7"/>
      <c r="E967" s="7"/>
      <c r="I967" s="7"/>
      <c r="O967" s="7"/>
    </row>
    <row r="968" spans="2:15" ht="15.75" customHeight="1" x14ac:dyDescent="0.3">
      <c r="B968" s="7"/>
      <c r="E968" s="7"/>
      <c r="I968" s="7"/>
      <c r="O968" s="7"/>
    </row>
    <row r="969" spans="2:15" ht="15.75" customHeight="1" x14ac:dyDescent="0.3">
      <c r="B969" s="7"/>
      <c r="E969" s="7"/>
      <c r="I969" s="7"/>
      <c r="O969" s="7"/>
    </row>
    <row r="970" spans="2:15" ht="15.75" customHeight="1" x14ac:dyDescent="0.3">
      <c r="B970" s="7"/>
      <c r="E970" s="7"/>
      <c r="I970" s="7"/>
      <c r="O970" s="7"/>
    </row>
    <row r="971" spans="2:15" ht="15.75" customHeight="1" x14ac:dyDescent="0.3">
      <c r="B971" s="7"/>
      <c r="E971" s="7"/>
      <c r="I971" s="7"/>
      <c r="O971" s="7"/>
    </row>
    <row r="972" spans="2:15" ht="15.75" customHeight="1" x14ac:dyDescent="0.3">
      <c r="B972" s="7"/>
      <c r="E972" s="7"/>
      <c r="I972" s="7"/>
      <c r="O972" s="7"/>
    </row>
    <row r="973" spans="2:15" ht="15.75" customHeight="1" x14ac:dyDescent="0.3">
      <c r="B973" s="7"/>
      <c r="E973" s="7"/>
      <c r="I973" s="7"/>
      <c r="O973" s="7"/>
    </row>
    <row r="974" spans="2:15" ht="15.75" customHeight="1" x14ac:dyDescent="0.3">
      <c r="B974" s="7"/>
      <c r="E974" s="7"/>
      <c r="I974" s="7"/>
      <c r="O974" s="7"/>
    </row>
    <row r="975" spans="2:15" ht="15.75" customHeight="1" x14ac:dyDescent="0.3">
      <c r="B975" s="7"/>
      <c r="E975" s="7"/>
      <c r="I975" s="7"/>
      <c r="O975" s="7"/>
    </row>
    <row r="976" spans="2:15" ht="15.75" customHeight="1" x14ac:dyDescent="0.3">
      <c r="B976" s="7"/>
      <c r="E976" s="7"/>
      <c r="I976" s="7"/>
      <c r="O976" s="7"/>
    </row>
    <row r="977" spans="2:15" ht="15.75" customHeight="1" x14ac:dyDescent="0.3">
      <c r="B977" s="7"/>
      <c r="E977" s="7"/>
      <c r="I977" s="7"/>
      <c r="O977" s="7"/>
    </row>
    <row r="978" spans="2:15" ht="15.75" customHeight="1" x14ac:dyDescent="0.3">
      <c r="B978" s="7"/>
      <c r="E978" s="7"/>
      <c r="I978" s="7"/>
      <c r="O978" s="7"/>
    </row>
    <row r="979" spans="2:15" ht="15.75" customHeight="1" x14ac:dyDescent="0.3">
      <c r="B979" s="7"/>
      <c r="E979" s="7"/>
      <c r="I979" s="7"/>
      <c r="O979" s="7"/>
    </row>
    <row r="980" spans="2:15" ht="15.75" customHeight="1" x14ac:dyDescent="0.3">
      <c r="B980" s="7"/>
      <c r="E980" s="7"/>
      <c r="I980" s="7"/>
      <c r="O980" s="7"/>
    </row>
    <row r="981" spans="2:15" ht="15.75" customHeight="1" x14ac:dyDescent="0.3">
      <c r="B981" s="7"/>
      <c r="E981" s="7"/>
      <c r="I981" s="7"/>
      <c r="O981" s="7"/>
    </row>
    <row r="982" spans="2:15" ht="15.75" customHeight="1" x14ac:dyDescent="0.3">
      <c r="B982" s="7"/>
      <c r="E982" s="7"/>
      <c r="I982" s="7"/>
      <c r="O982" s="7"/>
    </row>
    <row r="983" spans="2:15" ht="15.75" customHeight="1" x14ac:dyDescent="0.3">
      <c r="B983" s="7"/>
      <c r="E983" s="7"/>
      <c r="I983" s="7"/>
      <c r="O983" s="7"/>
    </row>
    <row r="984" spans="2:15" ht="15.75" customHeight="1" x14ac:dyDescent="0.3">
      <c r="B984" s="7"/>
      <c r="E984" s="7"/>
      <c r="I984" s="7"/>
      <c r="O984" s="7"/>
    </row>
    <row r="985" spans="2:15" ht="15.75" customHeight="1" x14ac:dyDescent="0.3">
      <c r="B985" s="7"/>
      <c r="E985" s="7"/>
      <c r="I985" s="7"/>
      <c r="O985" s="7"/>
    </row>
    <row r="986" spans="2:15" ht="15.75" customHeight="1" x14ac:dyDescent="0.3">
      <c r="B986" s="7"/>
      <c r="E986" s="7"/>
      <c r="I986" s="7"/>
      <c r="O986" s="7"/>
    </row>
    <row r="987" spans="2:15" ht="15.75" customHeight="1" x14ac:dyDescent="0.3">
      <c r="B987" s="7"/>
      <c r="E987" s="7"/>
      <c r="I987" s="7"/>
      <c r="O987" s="7"/>
    </row>
    <row r="988" spans="2:15" ht="15.75" customHeight="1" x14ac:dyDescent="0.3">
      <c r="B988" s="7"/>
      <c r="E988" s="7"/>
      <c r="I988" s="7"/>
      <c r="O988" s="7"/>
    </row>
    <row r="989" spans="2:15" ht="15.75" customHeight="1" x14ac:dyDescent="0.3">
      <c r="B989" s="7"/>
      <c r="E989" s="7"/>
      <c r="I989" s="7"/>
      <c r="O989" s="7"/>
    </row>
    <row r="990" spans="2:15" ht="15.75" customHeight="1" x14ac:dyDescent="0.3">
      <c r="B990" s="7"/>
      <c r="E990" s="7"/>
      <c r="I990" s="7"/>
      <c r="O990" s="7"/>
    </row>
    <row r="991" spans="2:15" ht="15.75" customHeight="1" x14ac:dyDescent="0.3">
      <c r="B991" s="7"/>
      <c r="E991" s="7"/>
      <c r="I991" s="7"/>
      <c r="O991" s="7"/>
    </row>
    <row r="992" spans="2:15" ht="15.75" customHeight="1" x14ac:dyDescent="0.3">
      <c r="B992" s="7"/>
      <c r="E992" s="7"/>
      <c r="I992" s="7"/>
      <c r="O992" s="7"/>
    </row>
    <row r="993" spans="2:15" ht="15.75" customHeight="1" x14ac:dyDescent="0.3">
      <c r="B993" s="7"/>
      <c r="E993" s="7"/>
      <c r="I993" s="7"/>
      <c r="O993" s="7"/>
    </row>
    <row r="994" spans="2:15" ht="15.75" customHeight="1" x14ac:dyDescent="0.3">
      <c r="B994" s="7"/>
      <c r="E994" s="7"/>
      <c r="I994" s="7"/>
      <c r="O994" s="7"/>
    </row>
    <row r="995" spans="2:15" ht="15.75" customHeight="1" x14ac:dyDescent="0.3">
      <c r="B995" s="7"/>
      <c r="E995" s="7"/>
      <c r="I995" s="7"/>
      <c r="O995" s="7"/>
    </row>
    <row r="996" spans="2:15" ht="15.75" customHeight="1" x14ac:dyDescent="0.3">
      <c r="B996" s="7"/>
      <c r="E996" s="7"/>
      <c r="I996" s="7"/>
      <c r="O996" s="7"/>
    </row>
    <row r="997" spans="2:15" ht="15.75" customHeight="1" x14ac:dyDescent="0.3">
      <c r="B997" s="7"/>
      <c r="E997" s="7"/>
      <c r="I997" s="7"/>
      <c r="O997" s="7"/>
    </row>
    <row r="998" spans="2:15" ht="15.75" customHeight="1" x14ac:dyDescent="0.3">
      <c r="B998" s="7"/>
      <c r="E998" s="7"/>
      <c r="I998" s="7"/>
      <c r="O998" s="7"/>
    </row>
    <row r="999" spans="2:15" ht="15.75" customHeight="1" x14ac:dyDescent="0.3">
      <c r="B999" s="7"/>
      <c r="E999" s="7"/>
      <c r="I999" s="7"/>
      <c r="O999" s="7"/>
    </row>
    <row r="1000" spans="2:15" ht="15.75" customHeight="1" x14ac:dyDescent="0.3">
      <c r="B1000" s="7"/>
      <c r="E1000" s="7"/>
      <c r="I1000" s="7"/>
      <c r="O1000" s="7"/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showGridLines="0" workbookViewId="0"/>
  </sheetViews>
  <sheetFormatPr defaultColWidth="14.44140625" defaultRowHeight="15" customHeight="1" x14ac:dyDescent="0.3"/>
  <cols>
    <col min="1" max="6" width="14.44140625" customWidth="1"/>
    <col min="8" max="8" width="14" customWidth="1"/>
    <col min="10" max="10" width="16.6640625" customWidth="1"/>
  </cols>
  <sheetData>
    <row r="1" spans="1:10" ht="46.2" x14ac:dyDescent="0.85">
      <c r="A1" s="9"/>
      <c r="B1" s="9"/>
      <c r="C1" s="9"/>
      <c r="D1" s="9"/>
      <c r="E1" s="9"/>
      <c r="F1" s="9"/>
      <c r="G1" s="9"/>
      <c r="H1" s="10"/>
      <c r="I1" s="10"/>
      <c r="J1" s="10"/>
    </row>
    <row r="2" spans="1:10" ht="46.2" x14ac:dyDescent="0.85">
      <c r="A2" s="9"/>
      <c r="B2" s="9"/>
      <c r="C2" s="9"/>
      <c r="D2" s="9"/>
      <c r="E2" s="9"/>
      <c r="F2" s="9"/>
      <c r="G2" s="9"/>
      <c r="H2" s="10"/>
      <c r="I2" s="10"/>
      <c r="J2" s="10"/>
    </row>
    <row r="3" spans="1:10" ht="46.2" x14ac:dyDescent="0.85">
      <c r="A3" s="11" t="s">
        <v>59</v>
      </c>
      <c r="B3" s="9"/>
      <c r="C3" s="9"/>
      <c r="D3" s="9"/>
      <c r="E3" s="11"/>
      <c r="F3" s="9"/>
      <c r="G3" s="9"/>
      <c r="H3" s="10"/>
      <c r="I3" s="10"/>
      <c r="J3" s="10"/>
    </row>
    <row r="4" spans="1:10" ht="46.2" x14ac:dyDescent="0.85">
      <c r="A4" s="9"/>
      <c r="B4" s="9"/>
      <c r="C4" s="9"/>
      <c r="D4" s="9"/>
      <c r="E4" s="9"/>
      <c r="F4" s="9"/>
      <c r="G4" s="9"/>
      <c r="H4" s="10"/>
      <c r="I4" s="10"/>
      <c r="J4" s="10"/>
    </row>
    <row r="5" spans="1:10" ht="46.2" x14ac:dyDescent="0.85">
      <c r="A5" s="11"/>
      <c r="B5" s="9"/>
      <c r="C5" s="12"/>
      <c r="D5" s="9"/>
      <c r="E5" s="9"/>
      <c r="F5" s="9"/>
      <c r="G5" s="9"/>
      <c r="H5" s="10"/>
      <c r="I5" s="10"/>
      <c r="J5" s="10"/>
    </row>
    <row r="6" spans="1:10" ht="46.2" x14ac:dyDescent="0.85">
      <c r="H6" s="13"/>
    </row>
    <row r="7" spans="1:10" ht="46.2" x14ac:dyDescent="0.85">
      <c r="H7" s="13"/>
    </row>
    <row r="8" spans="1:10" ht="46.2" x14ac:dyDescent="0.85">
      <c r="H8" s="13"/>
    </row>
    <row r="9" spans="1:10" ht="46.2" x14ac:dyDescent="0.85">
      <c r="H9" s="13"/>
    </row>
    <row r="10" spans="1:10" ht="46.2" x14ac:dyDescent="0.85">
      <c r="H10" s="13"/>
    </row>
    <row r="11" spans="1:10" ht="46.2" x14ac:dyDescent="0.85">
      <c r="H11" s="13"/>
    </row>
    <row r="12" spans="1:10" ht="46.2" x14ac:dyDescent="0.85">
      <c r="H12" s="13"/>
    </row>
    <row r="13" spans="1:10" ht="46.2" x14ac:dyDescent="0.85">
      <c r="H13" s="13"/>
    </row>
    <row r="14" spans="1:10" ht="46.2" x14ac:dyDescent="0.85">
      <c r="H14" s="13"/>
    </row>
    <row r="15" spans="1:10" ht="46.2" x14ac:dyDescent="0.85">
      <c r="H15" s="13"/>
    </row>
    <row r="16" spans="1:10" ht="46.2" x14ac:dyDescent="0.85">
      <c r="H16" s="13"/>
    </row>
    <row r="17" spans="8:8" ht="46.2" x14ac:dyDescent="0.85">
      <c r="H17" s="13"/>
    </row>
    <row r="18" spans="8:8" ht="46.2" x14ac:dyDescent="0.85">
      <c r="H18" s="13"/>
    </row>
    <row r="19" spans="8:8" ht="46.2" x14ac:dyDescent="0.85">
      <c r="H19" s="13"/>
    </row>
    <row r="20" spans="8:8" ht="15.75" customHeight="1" x14ac:dyDescent="0.85">
      <c r="H20" s="13"/>
    </row>
    <row r="21" spans="8:8" ht="15.75" customHeight="1" x14ac:dyDescent="0.85">
      <c r="H21" s="13"/>
    </row>
    <row r="22" spans="8:8" ht="15.75" customHeight="1" x14ac:dyDescent="0.85">
      <c r="H22" s="13"/>
    </row>
    <row r="23" spans="8:8" ht="15.75" customHeight="1" x14ac:dyDescent="0.85">
      <c r="H23" s="13"/>
    </row>
    <row r="24" spans="8:8" ht="15.75" customHeight="1" x14ac:dyDescent="0.85">
      <c r="H24" s="13"/>
    </row>
    <row r="25" spans="8:8" ht="15.75" customHeight="1" x14ac:dyDescent="0.85">
      <c r="H25" s="13"/>
    </row>
    <row r="26" spans="8:8" ht="15.75" customHeight="1" x14ac:dyDescent="0.85">
      <c r="H26" s="13"/>
    </row>
    <row r="27" spans="8:8" ht="15.75" customHeight="1" x14ac:dyDescent="0.85">
      <c r="H27" s="13"/>
    </row>
    <row r="28" spans="8:8" ht="15.75" customHeight="1" x14ac:dyDescent="0.85">
      <c r="H28" s="13"/>
    </row>
    <row r="29" spans="8:8" ht="15.75" customHeight="1" x14ac:dyDescent="0.85">
      <c r="H29" s="13"/>
    </row>
    <row r="30" spans="8:8" ht="15.75" customHeight="1" x14ac:dyDescent="0.85">
      <c r="H30" s="13"/>
    </row>
    <row r="31" spans="8:8" ht="15.75" customHeight="1" x14ac:dyDescent="0.85">
      <c r="H31" s="13"/>
    </row>
    <row r="32" spans="8:8" ht="15.75" customHeight="1" x14ac:dyDescent="0.85">
      <c r="H32" s="13"/>
    </row>
    <row r="33" spans="8:8" ht="15.75" customHeight="1" x14ac:dyDescent="0.85">
      <c r="H33" s="13"/>
    </row>
    <row r="34" spans="8:8" ht="15.75" customHeight="1" x14ac:dyDescent="0.85">
      <c r="H34" s="13"/>
    </row>
    <row r="35" spans="8:8" ht="15.75" customHeight="1" x14ac:dyDescent="0.85">
      <c r="H35" s="13"/>
    </row>
    <row r="36" spans="8:8" ht="15.75" customHeight="1" x14ac:dyDescent="0.85">
      <c r="H36" s="13"/>
    </row>
    <row r="37" spans="8:8" ht="15.75" customHeight="1" x14ac:dyDescent="0.85">
      <c r="H37" s="13"/>
    </row>
    <row r="38" spans="8:8" ht="15.75" customHeight="1" x14ac:dyDescent="0.85">
      <c r="H38" s="13"/>
    </row>
    <row r="39" spans="8:8" ht="15.75" customHeight="1" x14ac:dyDescent="0.85">
      <c r="H39" s="13"/>
    </row>
    <row r="40" spans="8:8" ht="15.75" customHeight="1" x14ac:dyDescent="0.85">
      <c r="H40" s="13"/>
    </row>
    <row r="41" spans="8:8" ht="15.75" customHeight="1" x14ac:dyDescent="0.85">
      <c r="H41" s="13"/>
    </row>
    <row r="42" spans="8:8" ht="15.75" customHeight="1" x14ac:dyDescent="0.85">
      <c r="H42" s="13"/>
    </row>
    <row r="43" spans="8:8" ht="15.75" customHeight="1" x14ac:dyDescent="0.85">
      <c r="H43" s="13"/>
    </row>
    <row r="44" spans="8:8" ht="15.75" customHeight="1" x14ac:dyDescent="0.85">
      <c r="H44" s="13"/>
    </row>
    <row r="45" spans="8:8" ht="15.75" customHeight="1" x14ac:dyDescent="0.85">
      <c r="H45" s="13"/>
    </row>
    <row r="46" spans="8:8" ht="15.75" customHeight="1" x14ac:dyDescent="0.85">
      <c r="H46" s="13"/>
    </row>
    <row r="47" spans="8:8" ht="15.75" customHeight="1" x14ac:dyDescent="0.85">
      <c r="H47" s="13"/>
    </row>
    <row r="48" spans="8:8" ht="15.75" customHeight="1" x14ac:dyDescent="0.85">
      <c r="H48" s="13"/>
    </row>
    <row r="49" spans="8:8" ht="15.75" customHeight="1" x14ac:dyDescent="0.85">
      <c r="H49" s="13"/>
    </row>
    <row r="50" spans="8:8" ht="15.75" customHeight="1" x14ac:dyDescent="0.85">
      <c r="H50" s="13"/>
    </row>
    <row r="51" spans="8:8" ht="15.75" customHeight="1" x14ac:dyDescent="0.85">
      <c r="H51" s="13"/>
    </row>
    <row r="52" spans="8:8" ht="15.75" customHeight="1" x14ac:dyDescent="0.85">
      <c r="H52" s="13"/>
    </row>
    <row r="53" spans="8:8" ht="15.75" customHeight="1" x14ac:dyDescent="0.85">
      <c r="H53" s="13"/>
    </row>
    <row r="54" spans="8:8" ht="15.75" customHeight="1" x14ac:dyDescent="0.85">
      <c r="H54" s="13"/>
    </row>
    <row r="55" spans="8:8" ht="15.75" customHeight="1" x14ac:dyDescent="0.85">
      <c r="H55" s="13"/>
    </row>
    <row r="56" spans="8:8" ht="15.75" customHeight="1" x14ac:dyDescent="0.85">
      <c r="H56" s="13"/>
    </row>
    <row r="57" spans="8:8" ht="15.75" customHeight="1" x14ac:dyDescent="0.85">
      <c r="H57" s="13"/>
    </row>
    <row r="58" spans="8:8" ht="15.75" customHeight="1" x14ac:dyDescent="0.85">
      <c r="H58" s="13"/>
    </row>
    <row r="59" spans="8:8" ht="15.75" customHeight="1" x14ac:dyDescent="0.85">
      <c r="H59" s="13"/>
    </row>
    <row r="60" spans="8:8" ht="15.75" customHeight="1" x14ac:dyDescent="0.85">
      <c r="H60" s="13"/>
    </row>
    <row r="61" spans="8:8" ht="15.75" customHeight="1" x14ac:dyDescent="0.85">
      <c r="H61" s="13"/>
    </row>
    <row r="62" spans="8:8" ht="15.75" customHeight="1" x14ac:dyDescent="0.85">
      <c r="H62" s="13"/>
    </row>
    <row r="63" spans="8:8" ht="15.75" customHeight="1" x14ac:dyDescent="0.85">
      <c r="H63" s="13"/>
    </row>
    <row r="64" spans="8:8" ht="15.75" customHeight="1" x14ac:dyDescent="0.85">
      <c r="H64" s="13"/>
    </row>
    <row r="65" spans="8:8" ht="15.75" customHeight="1" x14ac:dyDescent="0.85">
      <c r="H65" s="13"/>
    </row>
    <row r="66" spans="8:8" ht="15.75" customHeight="1" x14ac:dyDescent="0.85">
      <c r="H66" s="13"/>
    </row>
    <row r="67" spans="8:8" ht="15.75" customHeight="1" x14ac:dyDescent="0.85">
      <c r="H67" s="13"/>
    </row>
    <row r="68" spans="8:8" ht="15.75" customHeight="1" x14ac:dyDescent="0.85">
      <c r="H68" s="13"/>
    </row>
    <row r="69" spans="8:8" ht="15.75" customHeight="1" x14ac:dyDescent="0.85">
      <c r="H69" s="13"/>
    </row>
    <row r="70" spans="8:8" ht="15.75" customHeight="1" x14ac:dyDescent="0.85">
      <c r="H70" s="13"/>
    </row>
    <row r="71" spans="8:8" ht="15.75" customHeight="1" x14ac:dyDescent="0.85">
      <c r="H71" s="13"/>
    </row>
    <row r="72" spans="8:8" ht="15.75" customHeight="1" x14ac:dyDescent="0.85">
      <c r="H72" s="13"/>
    </row>
    <row r="73" spans="8:8" ht="15.75" customHeight="1" x14ac:dyDescent="0.85">
      <c r="H73" s="13"/>
    </row>
    <row r="74" spans="8:8" ht="15.75" customHeight="1" x14ac:dyDescent="0.85">
      <c r="H74" s="13"/>
    </row>
    <row r="75" spans="8:8" ht="15.75" customHeight="1" x14ac:dyDescent="0.85">
      <c r="H75" s="13"/>
    </row>
    <row r="76" spans="8:8" ht="15.75" customHeight="1" x14ac:dyDescent="0.85">
      <c r="H76" s="13"/>
    </row>
    <row r="77" spans="8:8" ht="15.75" customHeight="1" x14ac:dyDescent="0.85">
      <c r="H77" s="13"/>
    </row>
    <row r="78" spans="8:8" ht="15.75" customHeight="1" x14ac:dyDescent="0.85">
      <c r="H78" s="13"/>
    </row>
    <row r="79" spans="8:8" ht="15.75" customHeight="1" x14ac:dyDescent="0.85">
      <c r="H79" s="13"/>
    </row>
    <row r="80" spans="8:8" ht="15.75" customHeight="1" x14ac:dyDescent="0.85">
      <c r="H80" s="13"/>
    </row>
    <row r="81" spans="8:8" ht="15.75" customHeight="1" x14ac:dyDescent="0.85">
      <c r="H81" s="13"/>
    </row>
    <row r="82" spans="8:8" ht="15.75" customHeight="1" x14ac:dyDescent="0.85">
      <c r="H82" s="13"/>
    </row>
    <row r="83" spans="8:8" ht="15.75" customHeight="1" x14ac:dyDescent="0.85">
      <c r="H83" s="13"/>
    </row>
    <row r="84" spans="8:8" ht="15.75" customHeight="1" x14ac:dyDescent="0.85">
      <c r="H84" s="13"/>
    </row>
    <row r="85" spans="8:8" ht="15.75" customHeight="1" x14ac:dyDescent="0.85">
      <c r="H85" s="13"/>
    </row>
    <row r="86" spans="8:8" ht="15.75" customHeight="1" x14ac:dyDescent="0.85">
      <c r="H86" s="13"/>
    </row>
    <row r="87" spans="8:8" ht="15.75" customHeight="1" x14ac:dyDescent="0.85">
      <c r="H87" s="13"/>
    </row>
    <row r="88" spans="8:8" ht="15.75" customHeight="1" x14ac:dyDescent="0.85">
      <c r="H88" s="13"/>
    </row>
    <row r="89" spans="8:8" ht="15.75" customHeight="1" x14ac:dyDescent="0.85">
      <c r="H89" s="13"/>
    </row>
    <row r="90" spans="8:8" ht="15.75" customHeight="1" x14ac:dyDescent="0.85">
      <c r="H90" s="13"/>
    </row>
    <row r="91" spans="8:8" ht="15.75" customHeight="1" x14ac:dyDescent="0.85">
      <c r="H91" s="13"/>
    </row>
    <row r="92" spans="8:8" ht="15.75" customHeight="1" x14ac:dyDescent="0.85">
      <c r="H92" s="13"/>
    </row>
    <row r="93" spans="8:8" ht="15.75" customHeight="1" x14ac:dyDescent="0.85">
      <c r="H93" s="13"/>
    </row>
    <row r="94" spans="8:8" ht="15.75" customHeight="1" x14ac:dyDescent="0.85">
      <c r="H94" s="13"/>
    </row>
    <row r="95" spans="8:8" ht="15.75" customHeight="1" x14ac:dyDescent="0.85">
      <c r="H95" s="13"/>
    </row>
    <row r="96" spans="8:8" ht="15.75" customHeight="1" x14ac:dyDescent="0.85">
      <c r="H96" s="13"/>
    </row>
    <row r="97" spans="8:8" ht="15.75" customHeight="1" x14ac:dyDescent="0.85">
      <c r="H97" s="13"/>
    </row>
    <row r="98" spans="8:8" ht="15.75" customHeight="1" x14ac:dyDescent="0.85">
      <c r="H98" s="13"/>
    </row>
    <row r="99" spans="8:8" ht="15.75" customHeight="1" x14ac:dyDescent="0.85">
      <c r="H99" s="13"/>
    </row>
    <row r="100" spans="8:8" ht="15.75" customHeight="1" x14ac:dyDescent="0.85">
      <c r="H100" s="13"/>
    </row>
    <row r="101" spans="8:8" ht="15.75" customHeight="1" x14ac:dyDescent="0.85">
      <c r="H101" s="13"/>
    </row>
    <row r="102" spans="8:8" ht="15.75" customHeight="1" x14ac:dyDescent="0.85">
      <c r="H102" s="13"/>
    </row>
    <row r="103" spans="8:8" ht="15.75" customHeight="1" x14ac:dyDescent="0.85">
      <c r="H103" s="13"/>
    </row>
    <row r="104" spans="8:8" ht="15.75" customHeight="1" x14ac:dyDescent="0.85">
      <c r="H104" s="13"/>
    </row>
    <row r="105" spans="8:8" ht="15.75" customHeight="1" x14ac:dyDescent="0.85">
      <c r="H105" s="13"/>
    </row>
    <row r="106" spans="8:8" ht="15.75" customHeight="1" x14ac:dyDescent="0.85">
      <c r="H106" s="13"/>
    </row>
    <row r="107" spans="8:8" ht="15.75" customHeight="1" x14ac:dyDescent="0.85">
      <c r="H107" s="13"/>
    </row>
    <row r="108" spans="8:8" ht="15.75" customHeight="1" x14ac:dyDescent="0.85">
      <c r="H108" s="13"/>
    </row>
    <row r="109" spans="8:8" ht="15.75" customHeight="1" x14ac:dyDescent="0.85">
      <c r="H109" s="13"/>
    </row>
    <row r="110" spans="8:8" ht="15.75" customHeight="1" x14ac:dyDescent="0.85">
      <c r="H110" s="13"/>
    </row>
    <row r="111" spans="8:8" ht="15.75" customHeight="1" x14ac:dyDescent="0.85">
      <c r="H111" s="13"/>
    </row>
    <row r="112" spans="8:8" ht="15.75" customHeight="1" x14ac:dyDescent="0.85">
      <c r="H112" s="13"/>
    </row>
    <row r="113" spans="8:8" ht="15.75" customHeight="1" x14ac:dyDescent="0.85">
      <c r="H113" s="13"/>
    </row>
    <row r="114" spans="8:8" ht="15.75" customHeight="1" x14ac:dyDescent="0.85">
      <c r="H114" s="13"/>
    </row>
    <row r="115" spans="8:8" ht="15.75" customHeight="1" x14ac:dyDescent="0.85">
      <c r="H115" s="13"/>
    </row>
    <row r="116" spans="8:8" ht="15.75" customHeight="1" x14ac:dyDescent="0.85">
      <c r="H116" s="13"/>
    </row>
    <row r="117" spans="8:8" ht="15.75" customHeight="1" x14ac:dyDescent="0.85">
      <c r="H117" s="13"/>
    </row>
    <row r="118" spans="8:8" ht="15.75" customHeight="1" x14ac:dyDescent="0.85">
      <c r="H118" s="13"/>
    </row>
    <row r="119" spans="8:8" ht="15.75" customHeight="1" x14ac:dyDescent="0.85">
      <c r="H119" s="13"/>
    </row>
    <row r="120" spans="8:8" ht="15.75" customHeight="1" x14ac:dyDescent="0.85">
      <c r="H120" s="13"/>
    </row>
    <row r="121" spans="8:8" ht="15.75" customHeight="1" x14ac:dyDescent="0.85">
      <c r="H121" s="13"/>
    </row>
    <row r="122" spans="8:8" ht="15.75" customHeight="1" x14ac:dyDescent="0.85">
      <c r="H122" s="13"/>
    </row>
    <row r="123" spans="8:8" ht="15.75" customHeight="1" x14ac:dyDescent="0.85">
      <c r="H123" s="13"/>
    </row>
    <row r="124" spans="8:8" ht="15.75" customHeight="1" x14ac:dyDescent="0.85">
      <c r="H124" s="13"/>
    </row>
    <row r="125" spans="8:8" ht="15.75" customHeight="1" x14ac:dyDescent="0.85">
      <c r="H125" s="13"/>
    </row>
    <row r="126" spans="8:8" ht="15.75" customHeight="1" x14ac:dyDescent="0.85">
      <c r="H126" s="13"/>
    </row>
    <row r="127" spans="8:8" ht="15.75" customHeight="1" x14ac:dyDescent="0.85">
      <c r="H127" s="13"/>
    </row>
    <row r="128" spans="8:8" ht="15.75" customHeight="1" x14ac:dyDescent="0.85">
      <c r="H128" s="13"/>
    </row>
    <row r="129" spans="8:8" ht="15.75" customHeight="1" x14ac:dyDescent="0.85">
      <c r="H129" s="13"/>
    </row>
    <row r="130" spans="8:8" ht="15.75" customHeight="1" x14ac:dyDescent="0.85">
      <c r="H130" s="13"/>
    </row>
    <row r="131" spans="8:8" ht="15.75" customHeight="1" x14ac:dyDescent="0.85">
      <c r="H131" s="13"/>
    </row>
    <row r="132" spans="8:8" ht="15.75" customHeight="1" x14ac:dyDescent="0.85">
      <c r="H132" s="13"/>
    </row>
    <row r="133" spans="8:8" ht="15.75" customHeight="1" x14ac:dyDescent="0.85">
      <c r="H133" s="13"/>
    </row>
    <row r="134" spans="8:8" ht="15.75" customHeight="1" x14ac:dyDescent="0.85">
      <c r="H134" s="13"/>
    </row>
    <row r="135" spans="8:8" ht="15.75" customHeight="1" x14ac:dyDescent="0.85">
      <c r="H135" s="13"/>
    </row>
    <row r="136" spans="8:8" ht="15.75" customHeight="1" x14ac:dyDescent="0.85">
      <c r="H136" s="13"/>
    </row>
    <row r="137" spans="8:8" ht="15.75" customHeight="1" x14ac:dyDescent="0.85">
      <c r="H137" s="13"/>
    </row>
    <row r="138" spans="8:8" ht="15.75" customHeight="1" x14ac:dyDescent="0.85">
      <c r="H138" s="13"/>
    </row>
    <row r="139" spans="8:8" ht="15.75" customHeight="1" x14ac:dyDescent="0.85">
      <c r="H139" s="13"/>
    </row>
    <row r="140" spans="8:8" ht="15.75" customHeight="1" x14ac:dyDescent="0.85">
      <c r="H140" s="13"/>
    </row>
    <row r="141" spans="8:8" ht="15.75" customHeight="1" x14ac:dyDescent="0.85">
      <c r="H141" s="13"/>
    </row>
    <row r="142" spans="8:8" ht="15.75" customHeight="1" x14ac:dyDescent="0.85">
      <c r="H142" s="13"/>
    </row>
    <row r="143" spans="8:8" ht="15.75" customHeight="1" x14ac:dyDescent="0.85">
      <c r="H143" s="13"/>
    </row>
    <row r="144" spans="8:8" ht="15.75" customHeight="1" x14ac:dyDescent="0.85">
      <c r="H144" s="13"/>
    </row>
    <row r="145" spans="8:8" ht="15.75" customHeight="1" x14ac:dyDescent="0.85">
      <c r="H145" s="13"/>
    </row>
    <row r="146" spans="8:8" ht="15.75" customHeight="1" x14ac:dyDescent="0.85">
      <c r="H146" s="13"/>
    </row>
    <row r="147" spans="8:8" ht="15.75" customHeight="1" x14ac:dyDescent="0.85">
      <c r="H147" s="13"/>
    </row>
    <row r="148" spans="8:8" ht="15.75" customHeight="1" x14ac:dyDescent="0.85">
      <c r="H148" s="13"/>
    </row>
    <row r="149" spans="8:8" ht="15.75" customHeight="1" x14ac:dyDescent="0.85">
      <c r="H149" s="13"/>
    </row>
    <row r="150" spans="8:8" ht="15.75" customHeight="1" x14ac:dyDescent="0.85">
      <c r="H150" s="13"/>
    </row>
    <row r="151" spans="8:8" ht="15.75" customHeight="1" x14ac:dyDescent="0.85">
      <c r="H151" s="13"/>
    </row>
    <row r="152" spans="8:8" ht="15.75" customHeight="1" x14ac:dyDescent="0.85">
      <c r="H152" s="13"/>
    </row>
    <row r="153" spans="8:8" ht="15.75" customHeight="1" x14ac:dyDescent="0.85">
      <c r="H153" s="13"/>
    </row>
    <row r="154" spans="8:8" ht="15.75" customHeight="1" x14ac:dyDescent="0.85">
      <c r="H154" s="13"/>
    </row>
    <row r="155" spans="8:8" ht="15.75" customHeight="1" x14ac:dyDescent="0.85">
      <c r="H155" s="13"/>
    </row>
    <row r="156" spans="8:8" ht="15.75" customHeight="1" x14ac:dyDescent="0.85">
      <c r="H156" s="13"/>
    </row>
    <row r="157" spans="8:8" ht="15.75" customHeight="1" x14ac:dyDescent="0.85">
      <c r="H157" s="13"/>
    </row>
    <row r="158" spans="8:8" ht="15.75" customHeight="1" x14ac:dyDescent="0.85">
      <c r="H158" s="13"/>
    </row>
    <row r="159" spans="8:8" ht="15.75" customHeight="1" x14ac:dyDescent="0.85">
      <c r="H159" s="13"/>
    </row>
    <row r="160" spans="8:8" ht="15.75" customHeight="1" x14ac:dyDescent="0.85">
      <c r="H160" s="13"/>
    </row>
    <row r="161" spans="8:8" ht="15.75" customHeight="1" x14ac:dyDescent="0.85">
      <c r="H161" s="13"/>
    </row>
    <row r="162" spans="8:8" ht="15.75" customHeight="1" x14ac:dyDescent="0.85">
      <c r="H162" s="13"/>
    </row>
    <row r="163" spans="8:8" ht="15.75" customHeight="1" x14ac:dyDescent="0.85">
      <c r="H163" s="13"/>
    </row>
    <row r="164" spans="8:8" ht="15.75" customHeight="1" x14ac:dyDescent="0.85">
      <c r="H164" s="13"/>
    </row>
    <row r="165" spans="8:8" ht="15.75" customHeight="1" x14ac:dyDescent="0.85">
      <c r="H165" s="13"/>
    </row>
    <row r="166" spans="8:8" ht="15.75" customHeight="1" x14ac:dyDescent="0.85">
      <c r="H166" s="13"/>
    </row>
    <row r="167" spans="8:8" ht="15.75" customHeight="1" x14ac:dyDescent="0.85">
      <c r="H167" s="13"/>
    </row>
    <row r="168" spans="8:8" ht="15.75" customHeight="1" x14ac:dyDescent="0.85">
      <c r="H168" s="13"/>
    </row>
    <row r="169" spans="8:8" ht="15.75" customHeight="1" x14ac:dyDescent="0.85">
      <c r="H169" s="13"/>
    </row>
    <row r="170" spans="8:8" ht="15.75" customHeight="1" x14ac:dyDescent="0.85">
      <c r="H170" s="13"/>
    </row>
    <row r="171" spans="8:8" ht="15.75" customHeight="1" x14ac:dyDescent="0.85">
      <c r="H171" s="13"/>
    </row>
    <row r="172" spans="8:8" ht="15.75" customHeight="1" x14ac:dyDescent="0.85">
      <c r="H172" s="13"/>
    </row>
    <row r="173" spans="8:8" ht="15.75" customHeight="1" x14ac:dyDescent="0.85">
      <c r="H173" s="13"/>
    </row>
    <row r="174" spans="8:8" ht="15.75" customHeight="1" x14ac:dyDescent="0.85">
      <c r="H174" s="13"/>
    </row>
    <row r="175" spans="8:8" ht="15.75" customHeight="1" x14ac:dyDescent="0.85">
      <c r="H175" s="13"/>
    </row>
    <row r="176" spans="8:8" ht="15.75" customHeight="1" x14ac:dyDescent="0.85">
      <c r="H176" s="13"/>
    </row>
    <row r="177" spans="8:8" ht="15.75" customHeight="1" x14ac:dyDescent="0.85">
      <c r="H177" s="13"/>
    </row>
    <row r="178" spans="8:8" ht="15.75" customHeight="1" x14ac:dyDescent="0.85">
      <c r="H178" s="13"/>
    </row>
    <row r="179" spans="8:8" ht="15.75" customHeight="1" x14ac:dyDescent="0.85">
      <c r="H179" s="13"/>
    </row>
    <row r="180" spans="8:8" ht="15.75" customHeight="1" x14ac:dyDescent="0.85">
      <c r="H180" s="13"/>
    </row>
    <row r="181" spans="8:8" ht="15.75" customHeight="1" x14ac:dyDescent="0.85">
      <c r="H181" s="13"/>
    </row>
    <row r="182" spans="8:8" ht="15.75" customHeight="1" x14ac:dyDescent="0.85">
      <c r="H182" s="13"/>
    </row>
    <row r="183" spans="8:8" ht="15.75" customHeight="1" x14ac:dyDescent="0.85">
      <c r="H183" s="13"/>
    </row>
    <row r="184" spans="8:8" ht="15.75" customHeight="1" x14ac:dyDescent="0.85">
      <c r="H184" s="13"/>
    </row>
    <row r="185" spans="8:8" ht="15.75" customHeight="1" x14ac:dyDescent="0.85">
      <c r="H185" s="13"/>
    </row>
    <row r="186" spans="8:8" ht="15.75" customHeight="1" x14ac:dyDescent="0.85">
      <c r="H186" s="13"/>
    </row>
    <row r="187" spans="8:8" ht="15.75" customHeight="1" x14ac:dyDescent="0.85">
      <c r="H187" s="13"/>
    </row>
    <row r="188" spans="8:8" ht="15.75" customHeight="1" x14ac:dyDescent="0.85">
      <c r="H188" s="13"/>
    </row>
    <row r="189" spans="8:8" ht="15.75" customHeight="1" x14ac:dyDescent="0.85">
      <c r="H189" s="13"/>
    </row>
    <row r="190" spans="8:8" ht="15.75" customHeight="1" x14ac:dyDescent="0.85">
      <c r="H190" s="13"/>
    </row>
    <row r="191" spans="8:8" ht="15.75" customHeight="1" x14ac:dyDescent="0.85">
      <c r="H191" s="13"/>
    </row>
    <row r="192" spans="8:8" ht="15.75" customHeight="1" x14ac:dyDescent="0.85">
      <c r="H192" s="13"/>
    </row>
    <row r="193" spans="8:8" ht="15.75" customHeight="1" x14ac:dyDescent="0.85">
      <c r="H193" s="13"/>
    </row>
    <row r="194" spans="8:8" ht="15.75" customHeight="1" x14ac:dyDescent="0.85">
      <c r="H194" s="13"/>
    </row>
    <row r="195" spans="8:8" ht="15.75" customHeight="1" x14ac:dyDescent="0.85">
      <c r="H195" s="13"/>
    </row>
    <row r="196" spans="8:8" ht="15.75" customHeight="1" x14ac:dyDescent="0.85">
      <c r="H196" s="13"/>
    </row>
    <row r="197" spans="8:8" ht="15.75" customHeight="1" x14ac:dyDescent="0.85">
      <c r="H197" s="13"/>
    </row>
    <row r="198" spans="8:8" ht="15.75" customHeight="1" x14ac:dyDescent="0.85">
      <c r="H198" s="13"/>
    </row>
    <row r="199" spans="8:8" ht="15.75" customHeight="1" x14ac:dyDescent="0.85">
      <c r="H199" s="13"/>
    </row>
    <row r="200" spans="8:8" ht="15.75" customHeight="1" x14ac:dyDescent="0.85">
      <c r="H200" s="13"/>
    </row>
    <row r="201" spans="8:8" ht="15.75" customHeight="1" x14ac:dyDescent="0.85">
      <c r="H201" s="13"/>
    </row>
    <row r="202" spans="8:8" ht="15.75" customHeight="1" x14ac:dyDescent="0.85">
      <c r="H202" s="13"/>
    </row>
    <row r="203" spans="8:8" ht="15.75" customHeight="1" x14ac:dyDescent="0.85">
      <c r="H203" s="13"/>
    </row>
    <row r="204" spans="8:8" ht="15.75" customHeight="1" x14ac:dyDescent="0.85">
      <c r="H204" s="13"/>
    </row>
    <row r="205" spans="8:8" ht="15.75" customHeight="1" x14ac:dyDescent="0.85">
      <c r="H205" s="13"/>
    </row>
    <row r="206" spans="8:8" ht="15.75" customHeight="1" x14ac:dyDescent="0.85">
      <c r="H206" s="13"/>
    </row>
    <row r="207" spans="8:8" ht="15.75" customHeight="1" x14ac:dyDescent="0.85">
      <c r="H207" s="13"/>
    </row>
    <row r="208" spans="8:8" ht="15.75" customHeight="1" x14ac:dyDescent="0.85">
      <c r="H208" s="13"/>
    </row>
    <row r="209" spans="8:8" ht="15.75" customHeight="1" x14ac:dyDescent="0.85">
      <c r="H209" s="13"/>
    </row>
    <row r="210" spans="8:8" ht="15.75" customHeight="1" x14ac:dyDescent="0.85">
      <c r="H210" s="13"/>
    </row>
    <row r="211" spans="8:8" ht="15.75" customHeight="1" x14ac:dyDescent="0.85">
      <c r="H211" s="13"/>
    </row>
    <row r="212" spans="8:8" ht="15.75" customHeight="1" x14ac:dyDescent="0.85">
      <c r="H212" s="13"/>
    </row>
    <row r="213" spans="8:8" ht="15.75" customHeight="1" x14ac:dyDescent="0.85">
      <c r="H213" s="13"/>
    </row>
    <row r="214" spans="8:8" ht="15.75" customHeight="1" x14ac:dyDescent="0.85">
      <c r="H214" s="13"/>
    </row>
    <row r="215" spans="8:8" ht="15.75" customHeight="1" x14ac:dyDescent="0.85">
      <c r="H215" s="13"/>
    </row>
    <row r="216" spans="8:8" ht="15.75" customHeight="1" x14ac:dyDescent="0.85">
      <c r="H216" s="13"/>
    </row>
    <row r="217" spans="8:8" ht="15.75" customHeight="1" x14ac:dyDescent="0.85">
      <c r="H217" s="13"/>
    </row>
    <row r="218" spans="8:8" ht="15.75" customHeight="1" x14ac:dyDescent="0.85">
      <c r="H218" s="13"/>
    </row>
    <row r="219" spans="8:8" ht="15.75" customHeight="1" x14ac:dyDescent="0.85">
      <c r="H219" s="13"/>
    </row>
    <row r="220" spans="8:8" ht="15.75" customHeight="1" x14ac:dyDescent="0.3"/>
    <row r="221" spans="8:8" ht="15.75" customHeight="1" x14ac:dyDescent="0.3"/>
    <row r="222" spans="8:8" ht="15.75" customHeight="1" x14ac:dyDescent="0.3"/>
    <row r="223" spans="8:8" ht="15.75" customHeight="1" x14ac:dyDescent="0.3"/>
    <row r="224" spans="8:8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 Table 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mamikie malima</cp:lastModifiedBy>
  <dcterms:modified xsi:type="dcterms:W3CDTF">2026-07-27T13:30:26Z</dcterms:modified>
</cp:coreProperties>
</file>